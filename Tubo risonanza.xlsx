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808" documentId="8_{34F8618C-3BC8-4D1E-A580-8499E5AA5FF8}" xr6:coauthVersionLast="47" xr6:coauthVersionMax="47" xr10:uidLastSave="{E8838932-39A3-40B6-80F4-CACE801FCD52}"/>
  <bookViews>
    <workbookView xWindow="-98" yWindow="-98" windowWidth="21795" windowHeight="12975" activeTab="3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Punto 5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5" l="1"/>
  <c r="C19" i="5"/>
  <c r="C18" i="5"/>
  <c r="C17" i="5"/>
  <c r="C16" i="5"/>
  <c r="C15" i="5"/>
  <c r="E2" i="6"/>
  <c r="F5" i="6"/>
  <c r="F4" i="6"/>
  <c r="F3" i="6"/>
  <c r="F2" i="6"/>
  <c r="F6" i="6" s="1"/>
  <c r="F7" i="6" s="1"/>
  <c r="G5" i="5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</calcChain>
</file>

<file path=xl/sharedStrings.xml><?xml version="1.0" encoding="utf-8"?>
<sst xmlns="http://schemas.openxmlformats.org/spreadsheetml/2006/main" count="70" uniqueCount="40">
  <si>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</si>
  <si>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</si>
  <si>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</si>
  <si>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</si>
  <si>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</si>
  <si>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</si>
  <si>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</si>
  <si>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</si>
  <si>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</si>
  <si>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</si>
  <si>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</si>
  <si>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</si>
  <si>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</si>
  <si>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</si>
  <si>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</si>
  <si>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</si>
  <si>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</si>
  <si>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</si>
  <si>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</si>
  <si>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</si>
  <si>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</si>
  <si>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</si>
  <si>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</si>
  <si>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</si>
  <si>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</si>
  <si>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</si>
  <si>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</si>
  <si>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</si>
  <si>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</si>
  <si>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</si>
  <si>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</si>
  <si>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Posizione teorica (m)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</si>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</sst>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#,##0.000000000"/>
    <numFmt numFmtId="166" formatCode="#,##0.00000"/>
    <numFmt numFmtId="167" formatCode="0.000"/>
  </numFmts>
  <fonts count="4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8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3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1" applyNumberFormat="1" applyFont="1" applyBorder="1"/>
    <xf numFmtId="12" fontId="0" fillId="0" borderId="8" xfId="0" applyNumberFormat="1" applyBorder="1"/>
    <xf numFmtId="12" fontId="0" fillId="0" borderId="6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 applyBorder="1"/>
    <xf numFmtId="0" fontId="0" fillId="0" borderId="0" xfId="0" applyBorder="1"/>
    <xf numFmtId="12" fontId="0" fillId="0" borderId="4" xfId="0" applyNumberFormat="1" applyBorder="1"/>
    <xf numFmtId="12" fontId="0" fillId="0" borderId="3" xfId="0" applyNumberFormat="1" applyBorder="1"/>
    <xf numFmtId="0" fontId="0" fillId="0" borderId="0" xfId="0" applyFill="1"/>
    <xf numFmtId="0" fontId="0" fillId="2" borderId="10" xfId="0" applyFill="1" applyBorder="1"/>
    <xf numFmtId="0" fontId="0" fillId="3" borderId="8" xfId="0" applyFill="1" applyBorder="1"/>
    <xf numFmtId="0" fontId="0" fillId="3" borderId="6" xfId="0" applyFill="1" applyBorder="1"/>
    <xf numFmtId="0" fontId="0" fillId="0" borderId="11" xfId="0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E3" sqref="E3:E4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23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21</v>
      </c>
      <c r="E3" s="7" t="s">
        <v>26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22</v>
      </c>
      <c r="E5" s="7" t="s">
        <v>38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21</v>
      </c>
      <c r="E7" s="7" t="s">
        <v>39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24</v>
      </c>
    </row>
    <row r="10" spans="1:5">
      <c r="E10" s="6">
        <v>1.4</v>
      </c>
    </row>
    <row r="11" spans="1:5">
      <c r="E11" s="54" t="s">
        <v>25</v>
      </c>
    </row>
    <row r="12" spans="1:5" ht="14.65" thickBot="1">
      <c r="E12" s="55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H15" sqref="H1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32</v>
      </c>
      <c r="D1" s="13" t="s">
        <v>21</v>
      </c>
      <c r="E1" s="56" t="s">
        <v>7</v>
      </c>
      <c r="F1" s="57" t="s">
        <v>27</v>
      </c>
      <c r="G1" s="9" t="s">
        <v>30</v>
      </c>
    </row>
    <row r="2" spans="1:7">
      <c r="A2" s="27" t="s">
        <v>5</v>
      </c>
      <c r="B2" s="35">
        <v>1.5</v>
      </c>
      <c r="C2" s="19">
        <v>0.34499999999999997</v>
      </c>
      <c r="D2" s="20">
        <v>0.05</v>
      </c>
      <c r="E2" s="34">
        <f>G2/G4</f>
        <v>0.45381056300973421</v>
      </c>
      <c r="F2" s="30">
        <f>C4-C3</f>
        <v>0.22799999999999998</v>
      </c>
      <c r="G2" s="21">
        <v>344.98678999999998</v>
      </c>
    </row>
    <row r="3" spans="1:7">
      <c r="A3" s="28"/>
      <c r="B3" s="25">
        <v>2.5</v>
      </c>
      <c r="C3" s="33">
        <v>0.56000000000000005</v>
      </c>
      <c r="D3" s="17">
        <v>0.05</v>
      </c>
      <c r="E3" s="34"/>
      <c r="F3" s="30">
        <f>C7-C6</f>
        <v>0.22500000000000003</v>
      </c>
      <c r="G3" s="22" t="s">
        <v>1</v>
      </c>
    </row>
    <row r="4" spans="1:7" ht="14.65" thickBot="1">
      <c r="A4" s="29"/>
      <c r="B4" s="26">
        <v>3.5</v>
      </c>
      <c r="C4" s="18">
        <v>0.78800000000000003</v>
      </c>
      <c r="D4" s="11">
        <v>0.05</v>
      </c>
      <c r="E4" s="34"/>
      <c r="F4" s="30">
        <f>C6-C5</f>
        <v>0.22</v>
      </c>
      <c r="G4" s="23">
        <v>760.2</v>
      </c>
    </row>
    <row r="5" spans="1:7" ht="14.65" thickBot="1">
      <c r="A5" s="27" t="s">
        <v>6</v>
      </c>
      <c r="B5" s="25">
        <v>1</v>
      </c>
      <c r="C5" s="33">
        <v>0.23</v>
      </c>
      <c r="D5" s="17">
        <v>0.05</v>
      </c>
      <c r="E5" s="14"/>
      <c r="F5" s="30">
        <f>C3-C2</f>
        <v>0.21500000000000008</v>
      </c>
    </row>
    <row r="6" spans="1:7">
      <c r="A6" s="28"/>
      <c r="B6" s="25">
        <v>2</v>
      </c>
      <c r="C6" s="33">
        <v>0.45</v>
      </c>
      <c r="D6" s="17">
        <v>0.05</v>
      </c>
      <c r="E6" s="9" t="s">
        <v>28</v>
      </c>
      <c r="F6" s="31">
        <f>AVERAGE(F2:F5)</f>
        <v>0.22200000000000003</v>
      </c>
    </row>
    <row r="7" spans="1:7" ht="14.65" thickBot="1">
      <c r="A7" s="29"/>
      <c r="B7" s="26">
        <v>3</v>
      </c>
      <c r="C7" s="18">
        <v>0.67500000000000004</v>
      </c>
      <c r="D7" s="11">
        <v>0.05</v>
      </c>
      <c r="E7" s="10" t="s">
        <v>29</v>
      </c>
      <c r="F7" s="32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C30" sqref="C30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47" t="s">
        <v>8</v>
      </c>
      <c r="C1" s="46"/>
      <c r="D1" s="45" t="s">
        <v>10</v>
      </c>
      <c r="E1" s="46"/>
      <c r="F1" s="15"/>
      <c r="G1" s="45" t="s">
        <v>9</v>
      </c>
      <c r="H1" s="46"/>
    </row>
    <row r="2" spans="1:8" ht="14.65" thickBot="1">
      <c r="A2" s="51" t="s">
        <v>0</v>
      </c>
      <c r="B2" s="49" t="s">
        <v>1</v>
      </c>
      <c r="C2" s="50" t="s">
        <v>2</v>
      </c>
      <c r="D2" s="48" t="s">
        <v>1</v>
      </c>
      <c r="E2" s="50" t="s">
        <v>2</v>
      </c>
      <c r="F2" s="48" t="s">
        <v>0</v>
      </c>
      <c r="G2" s="48" t="s">
        <v>1</v>
      </c>
      <c r="H2" s="50" t="s">
        <v>2</v>
      </c>
    </row>
    <row r="3" spans="1:8">
      <c r="A3" s="52">
        <v>1</v>
      </c>
      <c r="B3" s="34">
        <v>319.2</v>
      </c>
      <c r="C3" s="17">
        <v>5</v>
      </c>
      <c r="D3" s="14">
        <v>377</v>
      </c>
      <c r="E3" s="17">
        <v>5</v>
      </c>
      <c r="F3" s="52">
        <v>1</v>
      </c>
      <c r="G3" s="34">
        <v>760</v>
      </c>
      <c r="H3" s="17">
        <v>5</v>
      </c>
    </row>
    <row r="4" spans="1:8">
      <c r="A4" s="52">
        <v>3</v>
      </c>
      <c r="B4" s="34">
        <v>534.29999999999995</v>
      </c>
      <c r="C4" s="17">
        <v>5</v>
      </c>
      <c r="D4" s="14">
        <v>632</v>
      </c>
      <c r="E4" s="17">
        <v>5</v>
      </c>
      <c r="F4" s="52">
        <v>3</v>
      </c>
      <c r="G4" s="34">
        <v>1068</v>
      </c>
      <c r="H4" s="17">
        <v>5</v>
      </c>
    </row>
    <row r="5" spans="1:8">
      <c r="A5" s="52">
        <v>5</v>
      </c>
      <c r="B5" s="34">
        <v>741.2</v>
      </c>
      <c r="C5" s="17">
        <v>6</v>
      </c>
      <c r="D5" s="14">
        <v>884</v>
      </c>
      <c r="E5" s="17">
        <v>6</v>
      </c>
      <c r="F5" s="52">
        <v>7</v>
      </c>
      <c r="G5" s="34">
        <v>1688</v>
      </c>
      <c r="H5" s="17">
        <v>6</v>
      </c>
    </row>
    <row r="6" spans="1:8">
      <c r="A6" s="52">
        <v>7</v>
      </c>
      <c r="B6" s="34">
        <v>954.1</v>
      </c>
      <c r="C6" s="17">
        <v>6</v>
      </c>
      <c r="D6" s="14">
        <v>1146</v>
      </c>
      <c r="E6" s="17">
        <v>6</v>
      </c>
      <c r="F6" s="52">
        <v>9</v>
      </c>
      <c r="G6" s="34">
        <v>1990</v>
      </c>
      <c r="H6" s="17">
        <v>6</v>
      </c>
    </row>
    <row r="7" spans="1:8" ht="14.65" thickBot="1">
      <c r="A7" s="53">
        <v>9</v>
      </c>
      <c r="B7" s="41">
        <v>1155.0999999999999</v>
      </c>
      <c r="C7" s="11">
        <v>6</v>
      </c>
      <c r="D7" s="23">
        <v>1404.5</v>
      </c>
      <c r="E7" s="11">
        <v>6</v>
      </c>
      <c r="F7" s="53">
        <v>11</v>
      </c>
      <c r="G7" s="41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tabSelected="1" workbookViewId="0">
      <selection activeCell="H22" sqref="H22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42" t="s">
        <v>33</v>
      </c>
      <c r="B1" s="43"/>
      <c r="C1" s="43"/>
      <c r="D1" s="44"/>
      <c r="E1" s="42" t="s">
        <v>34</v>
      </c>
      <c r="F1" s="43"/>
      <c r="G1" s="43"/>
      <c r="H1" s="44"/>
    </row>
    <row r="2" spans="1:8">
      <c r="A2" s="9" t="s">
        <v>0</v>
      </c>
      <c r="B2" s="38" t="s">
        <v>1</v>
      </c>
      <c r="C2" s="38" t="s">
        <v>2</v>
      </c>
      <c r="D2" s="5" t="s">
        <v>35</v>
      </c>
      <c r="E2" s="9" t="s">
        <v>0</v>
      </c>
      <c r="F2" s="38" t="s">
        <v>1</v>
      </c>
      <c r="G2" s="38" t="s">
        <v>2</v>
      </c>
      <c r="H2" s="5" t="s">
        <v>35</v>
      </c>
    </row>
    <row r="3" spans="1:8" ht="14.65" thickBot="1">
      <c r="A3" s="39">
        <v>1</v>
      </c>
      <c r="B3" s="34">
        <v>440.2</v>
      </c>
      <c r="C3" s="34">
        <v>4</v>
      </c>
      <c r="D3" s="6">
        <v>1.45</v>
      </c>
      <c r="E3" s="39">
        <v>1</v>
      </c>
      <c r="F3" s="34">
        <v>314.5</v>
      </c>
      <c r="G3" s="34">
        <v>4</v>
      </c>
      <c r="H3" s="6">
        <v>1.45</v>
      </c>
    </row>
    <row r="4" spans="1:8">
      <c r="A4" s="39">
        <v>3</v>
      </c>
      <c r="B4" s="34">
        <v>549.5</v>
      </c>
      <c r="C4" s="34">
        <v>4</v>
      </c>
      <c r="D4" s="5" t="s">
        <v>36</v>
      </c>
      <c r="E4" s="39">
        <v>3</v>
      </c>
      <c r="F4" s="34">
        <v>400</v>
      </c>
      <c r="G4" s="34">
        <v>4</v>
      </c>
      <c r="H4" s="5" t="s">
        <v>36</v>
      </c>
    </row>
    <row r="5" spans="1:8">
      <c r="A5" s="39">
        <v>5</v>
      </c>
      <c r="B5" s="34">
        <v>659.5</v>
      </c>
      <c r="C5" s="34">
        <v>4</v>
      </c>
      <c r="D5" s="6">
        <v>296.64999999999998</v>
      </c>
      <c r="E5" s="39">
        <v>5</v>
      </c>
      <c r="F5" s="34">
        <v>500</v>
      </c>
      <c r="G5" s="34">
        <v>4</v>
      </c>
      <c r="H5" s="6">
        <v>296.64999999999998</v>
      </c>
    </row>
    <row r="6" spans="1:8">
      <c r="A6" s="39">
        <v>7</v>
      </c>
      <c r="B6" s="34">
        <v>769.5</v>
      </c>
      <c r="C6" s="34">
        <v>4</v>
      </c>
      <c r="D6" s="7" t="s">
        <v>26</v>
      </c>
      <c r="E6" s="39">
        <v>7</v>
      </c>
      <c r="F6" s="34">
        <v>600</v>
      </c>
      <c r="G6" s="34">
        <v>4</v>
      </c>
      <c r="H6" s="7" t="s">
        <v>26</v>
      </c>
    </row>
    <row r="7" spans="1:8" ht="14.65" thickBot="1">
      <c r="A7" s="40">
        <v>9</v>
      </c>
      <c r="B7" s="41">
        <v>882</v>
      </c>
      <c r="C7" s="11">
        <v>4</v>
      </c>
      <c r="D7" s="6">
        <v>0.5</v>
      </c>
      <c r="E7" s="40">
        <v>9</v>
      </c>
      <c r="F7" s="41">
        <v>700</v>
      </c>
      <c r="G7" s="41">
        <v>4</v>
      </c>
      <c r="H7" s="6">
        <v>0.5</v>
      </c>
    </row>
    <row r="8" spans="1:8">
      <c r="D8" s="7" t="s">
        <v>37</v>
      </c>
      <c r="H8" s="5" t="s">
        <v>37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39</v>
      </c>
      <c r="H10" s="7" t="s">
        <v>39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24</v>
      </c>
      <c r="H12" s="7" t="s">
        <v>24</v>
      </c>
    </row>
    <row r="13" spans="1:8" ht="14.65" thickBot="1">
      <c r="D13" s="36">
        <v>1.6666666666666667</v>
      </c>
      <c r="H13" s="36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G8"/>
  <sheetViews>
    <sheetView workbookViewId="0">
      <selection activeCell="F30" sqref="F30"/>
    </sheetView>
  </sheetViews>
  <sheetFormatPr defaultRowHeight="14.25"/>
  <cols>
    <col min="6" max="6" width="13" bestFit="1" customWidth="1"/>
  </cols>
  <sheetData>
    <row r="1" spans="1:7">
      <c r="A1" s="2" t="s">
        <v>11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37"/>
    </row>
    <row r="2" spans="1:7">
      <c r="A2">
        <v>1.57</v>
      </c>
      <c r="B2">
        <v>4.4999999999999997E-3</v>
      </c>
      <c r="C2">
        <v>4.4999999999999997E-3</v>
      </c>
      <c r="D2">
        <f t="shared" ref="D2:D8" si="0">A2/B2</f>
        <v>348.88888888888891</v>
      </c>
      <c r="E2">
        <f>A2/C2</f>
        <v>348.88888888888891</v>
      </c>
      <c r="F2" t="s">
        <v>17</v>
      </c>
    </row>
    <row r="3" spans="1:7">
      <c r="A3">
        <v>1.37</v>
      </c>
      <c r="B3">
        <v>3.9199999999999999E-3</v>
      </c>
      <c r="C3">
        <v>3.9199999999999999E-3</v>
      </c>
      <c r="D3">
        <f t="shared" si="0"/>
        <v>349.48979591836741</v>
      </c>
      <c r="E3">
        <f t="shared" ref="E3:E8" si="1">A3/C3</f>
        <v>349.48979591836741</v>
      </c>
    </row>
    <row r="4" spans="1:7">
      <c r="A4">
        <v>1.17</v>
      </c>
      <c r="B4">
        <v>3.3600000000000001E-3</v>
      </c>
      <c r="C4">
        <v>3.3500000000000001E-3</v>
      </c>
      <c r="D4">
        <f t="shared" si="0"/>
        <v>348.21428571428567</v>
      </c>
      <c r="E4">
        <f t="shared" si="1"/>
        <v>349.25373134328356</v>
      </c>
    </row>
    <row r="5" spans="1:7">
      <c r="A5">
        <v>0.97</v>
      </c>
      <c r="B5">
        <v>2.7899999999999999E-3</v>
      </c>
      <c r="C5">
        <v>2.7699999999999999E-3</v>
      </c>
      <c r="D5">
        <f t="shared" si="0"/>
        <v>347.67025089605733</v>
      </c>
      <c r="E5">
        <f t="shared" si="1"/>
        <v>350.18050541516249</v>
      </c>
    </row>
    <row r="6" spans="1:7">
      <c r="A6">
        <v>0.77</v>
      </c>
      <c r="B6">
        <v>2.2000000000000001E-3</v>
      </c>
      <c r="C6">
        <v>2.2000000000000001E-3</v>
      </c>
      <c r="D6">
        <f t="shared" si="0"/>
        <v>350</v>
      </c>
      <c r="E6">
        <f t="shared" si="1"/>
        <v>350</v>
      </c>
    </row>
    <row r="7" spans="1:7">
      <c r="A7">
        <v>0.56999999999999995</v>
      </c>
      <c r="B7">
        <v>1.6199999999999999E-3</v>
      </c>
      <c r="C7">
        <v>1.6199999999999999E-3</v>
      </c>
      <c r="D7">
        <f t="shared" si="0"/>
        <v>351.85185185185185</v>
      </c>
      <c r="E7">
        <f t="shared" si="1"/>
        <v>351.85185185185185</v>
      </c>
    </row>
    <row r="8" spans="1:7">
      <c r="A8">
        <v>0.37</v>
      </c>
      <c r="B8">
        <v>1.0499999999999999E-3</v>
      </c>
      <c r="C8">
        <v>1.0399999999999999E-3</v>
      </c>
      <c r="D8">
        <f t="shared" si="0"/>
        <v>352.38095238095241</v>
      </c>
      <c r="E8">
        <f t="shared" si="1"/>
        <v>355.76923076923077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20"/>
  <sheetViews>
    <sheetView workbookViewId="0">
      <selection activeCell="D20" sqref="D20"/>
    </sheetView>
  </sheetViews>
  <sheetFormatPr defaultRowHeight="14.25"/>
  <cols>
    <col min="1" max="1" width="15.1328125" customWidth="1"/>
    <col min="4" max="4" width="19" customWidth="1"/>
  </cols>
  <sheetData>
    <row r="1" spans="1:7">
      <c r="A1" t="s">
        <v>18</v>
      </c>
      <c r="B1" t="s">
        <v>19</v>
      </c>
      <c r="C1" t="s">
        <v>20</v>
      </c>
    </row>
    <row r="3" spans="1:7">
      <c r="A3">
        <v>490</v>
      </c>
      <c r="C3">
        <v>-710</v>
      </c>
    </row>
    <row r="4" spans="1:7">
      <c r="A4">
        <v>500</v>
      </c>
      <c r="B4">
        <v>3.44</v>
      </c>
      <c r="C4">
        <v>-620</v>
      </c>
    </row>
    <row r="5" spans="1:7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>
      <c r="A6">
        <v>520</v>
      </c>
      <c r="B6">
        <v>4.4000000000000004</v>
      </c>
      <c r="C6">
        <v>-80</v>
      </c>
    </row>
    <row r="7" spans="1:7">
      <c r="A7">
        <v>534.29999999999995</v>
      </c>
      <c r="B7">
        <v>2.2200000000000002</v>
      </c>
      <c r="C7">
        <v>150</v>
      </c>
    </row>
    <row r="8" spans="1:7">
      <c r="A8">
        <v>540</v>
      </c>
      <c r="B8">
        <v>1.8</v>
      </c>
      <c r="C8">
        <v>150</v>
      </c>
    </row>
    <row r="9" spans="1:7">
      <c r="A9">
        <v>550</v>
      </c>
      <c r="B9">
        <v>1.42</v>
      </c>
      <c r="C9">
        <v>180</v>
      </c>
    </row>
    <row r="13" spans="1:7" ht="14.65" thickBot="1"/>
    <row r="14" spans="1:7">
      <c r="A14" s="9" t="s">
        <v>30</v>
      </c>
      <c r="B14" s="12" t="s">
        <v>0</v>
      </c>
      <c r="C14" s="13" t="s">
        <v>31</v>
      </c>
    </row>
    <row r="15" spans="1:7">
      <c r="A15" s="21">
        <v>344.98678999999998</v>
      </c>
      <c r="B15" s="14">
        <v>1</v>
      </c>
      <c r="C15" s="17">
        <f>A15/(2*A17)</f>
        <v>0.22690528150486711</v>
      </c>
    </row>
    <row r="16" spans="1:7">
      <c r="A16" s="22" t="s">
        <v>1</v>
      </c>
      <c r="B16" s="24">
        <v>1.5</v>
      </c>
      <c r="C16" s="17">
        <f>3*A15/(4*A17)</f>
        <v>0.34035792225730072</v>
      </c>
    </row>
    <row r="17" spans="1:3" ht="14.65" thickBot="1">
      <c r="A17" s="23">
        <v>760.2</v>
      </c>
      <c r="B17" s="14">
        <v>2</v>
      </c>
      <c r="C17" s="17">
        <f>A15/A17</f>
        <v>0.45381056300973421</v>
      </c>
    </row>
    <row r="18" spans="1:3">
      <c r="B18" s="25">
        <v>2.5</v>
      </c>
      <c r="C18" s="17">
        <f>(5*A15)/(4*A17)</f>
        <v>0.56726320376216777</v>
      </c>
    </row>
    <row r="19" spans="1:3">
      <c r="B19" s="24">
        <v>3</v>
      </c>
      <c r="C19" s="17">
        <f>3*A15/(2*A17)</f>
        <v>0.68071584451460143</v>
      </c>
    </row>
    <row r="20" spans="1:3" ht="14.65" thickBot="1">
      <c r="B20" s="26">
        <v>3.5</v>
      </c>
      <c r="C20" s="11">
        <f>(A15*7)/(4*A17)</f>
        <v>0.79416848526703487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2026-05-07T13:05:24Z</dcterms:modified>
  <cp:category/>
  <cp:contentStatus/>
</cp:coreProperties>
</file>