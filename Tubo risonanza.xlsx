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11" documentId="8_{34F8618C-3BC8-4D1E-A580-8499E5AA5FF8}" xr6:coauthVersionLast="47" xr6:coauthVersionMax="47" xr10:uidLastSave="{4E110889-FAD8-44BF-A484-BCE96DAD1330}"/>
  <bookViews>
    <workbookView xWindow="10718" yWindow="0" windowWidth="10965" windowHeight="12863" firstSheet="4" activeTab="4" xr2:uid="{84DCF574-2E35-45F1-915E-7E47BD9768D8}"/>
  </bookViews>
  <sheets>
    <sheet name="Aria (tubo aperto)" sheetId="1" r:id="rId1"/>
    <sheet name="Aria (tubo chiuso)" sheetId="2" r:id="rId2"/>
    <sheet name="Argon e Kripton" sheetId="3" r:id="rId3"/>
    <sheet name="Onde quadre-riflessione" sheetId="4" r:id="rId4"/>
    <sheet name="Punto 5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  <c r="C16" i="1"/>
  <c r="C18" i="1"/>
  <c r="C17" i="1"/>
</calcChain>
</file>

<file path=xl/sharedStrings.xml><?xml version="1.0" encoding="utf-8"?>
<sst xmlns="http://schemas.openxmlformats.org/spreadsheetml/2006/main" count="51" uniqueCount="32">
  <si>
    <t>n</t>
  </si>
  <si>
    <t>Frequenza (hz)</t>
  </si>
  <si>
    <t>Incertezza (hz)</t>
  </si>
  <si>
    <t>D diametro del tubo aperto</t>
  </si>
  <si>
    <t>Incertezza</t>
  </si>
  <si>
    <t>0,5 hz</t>
  </si>
  <si>
    <t>3,5 cm</t>
  </si>
  <si>
    <t>0,5cm</t>
  </si>
  <si>
    <t>1 hz</t>
  </si>
  <si>
    <t>n=4</t>
  </si>
  <si>
    <t>Distanza (cm)</t>
  </si>
  <si>
    <t>v suono teorica</t>
  </si>
  <si>
    <t>frequenza=760,2 hz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</si>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</sst>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2:F18"/>
  <sheetViews>
    <sheetView workbookViewId="0">
      <selection activeCell="F6" sqref="F6"/>
    </sheetView>
  </sheetViews>
  <sheetFormatPr defaultRowHeight="14.25"/>
  <cols>
    <col min="1" max="1" width="22.42578125" customWidth="1"/>
    <col min="2" max="2" width="21.5703125" customWidth="1"/>
    <col min="3" max="5" width="22" customWidth="1"/>
    <col min="6" max="6" width="16.28515625" customWidth="1"/>
  </cols>
  <sheetData>
    <row r="2" spans="1:6">
      <c r="A2" s="1" t="s">
        <v>0</v>
      </c>
      <c r="B2" s="1" t="s">
        <v>1</v>
      </c>
      <c r="C2" s="1" t="s">
        <v>2</v>
      </c>
      <c r="E2" s="1" t="s">
        <v>3</v>
      </c>
      <c r="F2" s="1" t="s">
        <v>4</v>
      </c>
    </row>
    <row r="3" spans="1:6">
      <c r="A3" s="2">
        <v>1</v>
      </c>
      <c r="B3">
        <v>190.1</v>
      </c>
      <c r="C3" t="s">
        <v>5</v>
      </c>
      <c r="E3" t="s">
        <v>6</v>
      </c>
      <c r="F3" t="s">
        <v>7</v>
      </c>
    </row>
    <row r="4" spans="1:6">
      <c r="A4" s="2">
        <v>2</v>
      </c>
      <c r="B4">
        <v>381</v>
      </c>
      <c r="C4" t="s">
        <v>5</v>
      </c>
    </row>
    <row r="5" spans="1:6">
      <c r="A5" s="2">
        <v>3</v>
      </c>
      <c r="B5">
        <v>561</v>
      </c>
      <c r="C5" t="s">
        <v>8</v>
      </c>
    </row>
    <row r="6" spans="1:6">
      <c r="A6" s="2">
        <v>4</v>
      </c>
      <c r="B6">
        <v>760.2</v>
      </c>
      <c r="C6" t="s">
        <v>8</v>
      </c>
    </row>
    <row r="7" spans="1:6">
      <c r="A7" s="2">
        <v>5</v>
      </c>
      <c r="B7">
        <v>935.6</v>
      </c>
      <c r="C7" t="s">
        <v>8</v>
      </c>
    </row>
    <row r="9" spans="1:6">
      <c r="A9" s="4" t="s">
        <v>9</v>
      </c>
      <c r="C9" s="2" t="s">
        <v>10</v>
      </c>
      <c r="D9" s="2" t="s">
        <v>4</v>
      </c>
      <c r="F9" t="s">
        <v>11</v>
      </c>
    </row>
    <row r="10" spans="1:6">
      <c r="A10" s="4" t="s">
        <v>12</v>
      </c>
      <c r="B10" s="5" t="s">
        <v>13</v>
      </c>
      <c r="C10" s="3">
        <v>34.5</v>
      </c>
      <c r="D10">
        <v>0.5</v>
      </c>
    </row>
    <row r="11" spans="1:6">
      <c r="B11" s="5"/>
      <c r="C11" s="3">
        <v>56</v>
      </c>
      <c r="D11">
        <v>0.5</v>
      </c>
    </row>
    <row r="12" spans="1:6">
      <c r="B12" s="6"/>
      <c r="C12" s="3">
        <v>78.8</v>
      </c>
      <c r="D12">
        <v>0.5</v>
      </c>
    </row>
    <row r="13" spans="1:6">
      <c r="B13" s="5" t="s">
        <v>14</v>
      </c>
      <c r="C13" s="3">
        <v>23</v>
      </c>
      <c r="D13">
        <v>0.5</v>
      </c>
    </row>
    <row r="14" spans="1:6">
      <c r="B14" s="5"/>
      <c r="C14" s="3">
        <v>45</v>
      </c>
      <c r="D14">
        <v>0.5</v>
      </c>
    </row>
    <row r="15" spans="1:6">
      <c r="B15" s="5"/>
      <c r="C15" s="3">
        <v>67.5</v>
      </c>
      <c r="D15">
        <v>0.5</v>
      </c>
    </row>
    <row r="16" spans="1:6">
      <c r="B16" t="s">
        <v>15</v>
      </c>
      <c r="C16">
        <f>(2*90)/4</f>
        <v>45</v>
      </c>
    </row>
    <row r="17" spans="3:3">
      <c r="C17" s="3">
        <f>C12-C10</f>
        <v>44.3</v>
      </c>
    </row>
    <row r="18" spans="3:3">
      <c r="C18" s="3">
        <f>C15-C13</f>
        <v>44.5</v>
      </c>
    </row>
  </sheetData>
  <mergeCells count="2">
    <mergeCell ref="B10:B12"/>
    <mergeCell ref="B13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B1:H7"/>
  <sheetViews>
    <sheetView workbookViewId="0">
      <selection activeCell="C4" sqref="C4"/>
    </sheetView>
  </sheetViews>
  <sheetFormatPr defaultRowHeight="14.25"/>
  <cols>
    <col min="2" max="2" width="13" customWidth="1"/>
    <col min="3" max="3" width="13.5703125" customWidth="1"/>
    <col min="5" max="5" width="15.85546875" customWidth="1"/>
    <col min="6" max="6" width="13.5703125" customWidth="1"/>
    <col min="7" max="7" width="12" customWidth="1"/>
    <col min="8" max="8" width="13" customWidth="1"/>
  </cols>
  <sheetData>
    <row r="1" spans="2:8">
      <c r="C1" s="5" t="s">
        <v>16</v>
      </c>
      <c r="D1" s="5"/>
      <c r="E1" s="5" t="s">
        <v>17</v>
      </c>
      <c r="F1" s="5"/>
      <c r="G1" s="5" t="s">
        <v>18</v>
      </c>
      <c r="H1" s="5"/>
    </row>
    <row r="2" spans="2:8">
      <c r="B2" s="1" t="s">
        <v>0</v>
      </c>
      <c r="C2" s="1" t="s">
        <v>1</v>
      </c>
      <c r="D2" s="1" t="s">
        <v>2</v>
      </c>
      <c r="E2" s="1" t="s">
        <v>1</v>
      </c>
      <c r="F2" s="1" t="s">
        <v>2</v>
      </c>
      <c r="G2" s="1" t="s">
        <v>1</v>
      </c>
      <c r="H2" s="1" t="s">
        <v>2</v>
      </c>
    </row>
    <row r="3" spans="2:8">
      <c r="B3" s="2">
        <v>1</v>
      </c>
      <c r="C3">
        <v>319.2</v>
      </c>
      <c r="D3">
        <v>2</v>
      </c>
      <c r="E3">
        <v>760</v>
      </c>
      <c r="F3">
        <v>3</v>
      </c>
      <c r="G3">
        <v>377</v>
      </c>
      <c r="H3">
        <v>3</v>
      </c>
    </row>
    <row r="4" spans="2:8">
      <c r="B4" s="2">
        <v>2</v>
      </c>
      <c r="C4">
        <v>534.29999999999995</v>
      </c>
      <c r="D4">
        <v>2</v>
      </c>
      <c r="E4">
        <v>1068</v>
      </c>
      <c r="F4">
        <v>3</v>
      </c>
      <c r="G4">
        <v>632</v>
      </c>
      <c r="H4">
        <v>3</v>
      </c>
    </row>
    <row r="5" spans="2:8">
      <c r="B5" s="2">
        <v>3</v>
      </c>
      <c r="C5">
        <v>741.2</v>
      </c>
      <c r="D5">
        <v>2</v>
      </c>
      <c r="E5">
        <v>1688</v>
      </c>
      <c r="F5">
        <v>3</v>
      </c>
      <c r="G5">
        <v>884</v>
      </c>
      <c r="H5">
        <v>3</v>
      </c>
    </row>
    <row r="6" spans="2:8">
      <c r="B6" s="2">
        <v>4</v>
      </c>
      <c r="C6">
        <v>954.1</v>
      </c>
      <c r="D6">
        <v>2</v>
      </c>
      <c r="E6">
        <v>1990</v>
      </c>
      <c r="F6">
        <v>5</v>
      </c>
      <c r="G6">
        <v>1146</v>
      </c>
      <c r="H6">
        <v>3</v>
      </c>
    </row>
    <row r="7" spans="2:8">
      <c r="B7" s="2">
        <v>5</v>
      </c>
      <c r="C7">
        <v>1155.0999999999999</v>
      </c>
      <c r="D7">
        <v>2</v>
      </c>
      <c r="E7">
        <v>2290</v>
      </c>
      <c r="F7">
        <v>5</v>
      </c>
      <c r="G7">
        <v>1404.5</v>
      </c>
      <c r="H7">
        <v>3</v>
      </c>
    </row>
  </sheetData>
  <mergeCells count="3">
    <mergeCell ref="C1:D1"/>
    <mergeCell ref="G1:H1"/>
    <mergeCell ref="E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/>
  <cols>
    <col min="2" max="2" width="13" customWidth="1"/>
    <col min="3" max="3" width="14.85546875" customWidth="1"/>
    <col min="7" max="7" width="14.42578125" customWidth="1"/>
    <col min="8" max="8" width="12.855468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19</v>
      </c>
      <c r="E1" s="1" t="s">
        <v>20</v>
      </c>
      <c r="F1" s="1" t="s">
        <v>0</v>
      </c>
      <c r="G1" s="1" t="s">
        <v>1</v>
      </c>
      <c r="H1" s="1" t="s">
        <v>2</v>
      </c>
      <c r="I1" s="1" t="s">
        <v>19</v>
      </c>
      <c r="J1" s="1" t="s">
        <v>20</v>
      </c>
      <c r="K1" s="1" t="s">
        <v>21</v>
      </c>
    </row>
    <row r="2" spans="1:11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/>
  <sheetData>
    <row r="1" spans="1:6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</row>
    <row r="2" spans="1:6">
      <c r="A2">
        <v>1.57</v>
      </c>
      <c r="B2">
        <v>4.4999999999999997E-3</v>
      </c>
      <c r="C2">
        <v>4.4999999999999997E-3</v>
      </c>
      <c r="D2">
        <f>A2/B2</f>
        <v>348.88888888888891</v>
      </c>
      <c r="E2">
        <f>A2/C2</f>
        <v>348.88888888888891</v>
      </c>
      <c r="F2" t="s">
        <v>28</v>
      </c>
    </row>
    <row r="3" spans="1:6">
      <c r="A3">
        <v>1.37</v>
      </c>
      <c r="B3">
        <v>3.9199999999999999E-3</v>
      </c>
      <c r="C3">
        <v>3.9199999999999999E-3</v>
      </c>
      <c r="D3">
        <f>A3/B3</f>
        <v>349.48979591836741</v>
      </c>
      <c r="E3">
        <f t="shared" ref="E3:E8" si="0">A3/C3</f>
        <v>349.48979591836741</v>
      </c>
    </row>
    <row r="4" spans="1:6">
      <c r="A4">
        <v>1.17</v>
      </c>
      <c r="B4">
        <v>3.3600000000000001E-3</v>
      </c>
      <c r="C4">
        <v>3.3500000000000001E-3</v>
      </c>
      <c r="D4">
        <f>A4/B4</f>
        <v>348.21428571428567</v>
      </c>
      <c r="E4">
        <f t="shared" si="0"/>
        <v>349.25373134328356</v>
      </c>
    </row>
    <row r="5" spans="1:6">
      <c r="A5">
        <v>0.97</v>
      </c>
      <c r="B5">
        <v>2.7899999999999999E-3</v>
      </c>
      <c r="C5">
        <v>2.7699999999999999E-3</v>
      </c>
      <c r="D5">
        <f>A5/B5</f>
        <v>347.67025089605733</v>
      </c>
      <c r="E5">
        <f t="shared" si="0"/>
        <v>350.18050541516249</v>
      </c>
    </row>
    <row r="6" spans="1:6">
      <c r="A6">
        <v>0.77</v>
      </c>
      <c r="B6">
        <v>2.2000000000000001E-3</v>
      </c>
      <c r="C6">
        <v>2.2000000000000001E-3</v>
      </c>
      <c r="D6">
        <f>A6/B6</f>
        <v>350</v>
      </c>
      <c r="E6">
        <f t="shared" si="0"/>
        <v>350</v>
      </c>
    </row>
    <row r="7" spans="1:6">
      <c r="A7">
        <v>0.56999999999999995</v>
      </c>
      <c r="B7">
        <v>1.6199999999999999E-3</v>
      </c>
      <c r="C7">
        <v>1.6199999999999999E-3</v>
      </c>
      <c r="D7">
        <f>A7/B7</f>
        <v>351.85185185185185</v>
      </c>
      <c r="E7">
        <f t="shared" si="0"/>
        <v>351.85185185185185</v>
      </c>
    </row>
    <row r="8" spans="1:6">
      <c r="A8">
        <v>0.37</v>
      </c>
      <c r="B8">
        <v>1.0499999999999999E-3</v>
      </c>
      <c r="C8">
        <v>1.0399999999999999E-3</v>
      </c>
      <c r="D8">
        <f>A8/B8</f>
        <v>352.38095238095241</v>
      </c>
      <c r="E8">
        <f t="shared" si="0"/>
        <v>355.76923076923077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tabSelected="1" workbookViewId="0">
      <selection activeCell="G5" sqref="G5"/>
    </sheetView>
  </sheetViews>
  <sheetFormatPr defaultRowHeight="14.25"/>
  <cols>
    <col min="1" max="1" width="15.140625" customWidth="1"/>
    <col min="4" max="4" width="19" customWidth="1"/>
  </cols>
  <sheetData>
    <row r="1" spans="1:7">
      <c r="A1" t="s">
        <v>29</v>
      </c>
      <c r="B1" t="s">
        <v>30</v>
      </c>
      <c r="C1" t="s">
        <v>31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p.bellotti4@campus.unimib.it</cp:lastModifiedBy>
  <cp:revision/>
  <dcterms:created xsi:type="dcterms:W3CDTF">2026-03-31T09:18:44Z</dcterms:created>
  <dcterms:modified xsi:type="dcterms:W3CDTF">2026-04-14T13:36:13Z</dcterms:modified>
  <cp:category/>
  <cp:contentStatus/>
</cp:coreProperties>
</file>