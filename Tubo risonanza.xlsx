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1259" documentId="8_{34F8618C-3BC8-4D1E-A580-8499E5AA5FF8}" xr6:coauthVersionLast="47" xr6:coauthVersionMax="47" xr10:uidLastSave="{117D139B-7957-42A4-86A4-8BDC2AF626D6}"/>
  <bookViews>
    <workbookView xWindow="-98" yWindow="-98" windowWidth="21795" windowHeight="12975" firstSheet="7" activeTab="7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  <sheet name="Aria 2 (tubo chiuso)" sheetId="7" r:id="rId7"/>
    <sheet name="Argon e kripton 2" sheetId="8" r:id="rId8"/>
    <sheet name="Onde quadre (Argon e Kripton)" sheetId="9" r:id="rId9"/>
    <sheet name="Ampiezza e fase 2" sheetId="10" r:id="rId10"/>
    <sheet name="Foglio1" sheetId="11" r:id="rId11"/>
  </sheets>
  <definedNames>
    <definedName name="_xlnm._FilterDatabase" localSheetId="9" hidden="1">'Ampiezza e fase 2'!$A$1:$C$11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9" l="1"/>
  <c r="D10" i="9"/>
  <c r="B11" i="9"/>
  <c r="B10" i="9"/>
  <c r="E2" i="4"/>
  <c r="E3" i="4"/>
  <c r="E4" i="4"/>
  <c r="E5" i="4"/>
  <c r="E6" i="4"/>
  <c r="E7" i="4"/>
  <c r="E8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<sst xmlns="http://schemas.openxmlformats.org/spreadsheetml/2006/main" count="111" uniqueCount="40">
  <si>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</si>
  <si>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</si>
  <si>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</si>
  <si>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</si>
  <si>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</si>
  <si>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</si>
  <si>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</si>
  <si>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</si>
  <si>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</si>
  <si>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</si>
  <si>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</si>
  <si>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</si>
  <si>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</si>
  <si>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</si>
  <si>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</si>
  <si>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</si>
  <si>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</si>
  <si>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</si>
  <si>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</si>
  <si>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</si>
  <si>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</si>
  <si>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</si>
  <si>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</si>
  <si>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</si>
  <si>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</si>
  <si>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</si>
  <si>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</si>
  <si>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</si>
  <si>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</si>
  <si>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</si>
  <si>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</si>
  <si>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</si>
  <si>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</si>
  <si>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</si>
  <si>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</si>
  <si>
    <t>sx (m)</t>
  </si>
  <si>
    <t>Δt (s)</t>
  </si>
  <si>
    <t>Errore sulla media</t>
  </si>
  <si>
    <t xml:space="preserve">Distanza dal tubo </t>
  </si>
  <si>
    <t>1,5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</si>
</sst>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#,##0.000000000"/>
    <numFmt numFmtId="166" formatCode="#,##0.00000"/>
    <numFmt numFmtId="167" formatCode="0.000"/>
    <numFmt numFmtId="170" formatCode="0.00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1" xfId="0" applyFill="1" applyBorder="1"/>
    <xf numFmtId="0" fontId="0" fillId="0" borderId="1" xfId="0" applyBorder="1"/>
    <xf numFmtId="0" fontId="0" fillId="3" borderId="6" xfId="0" applyFill="1" applyBorder="1"/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0" xfId="0" applyFill="1" applyBorder="1"/>
    <xf numFmtId="0" fontId="0" fillId="0" borderId="8" xfId="0" applyFill="1" applyBorder="1"/>
    <xf numFmtId="0" fontId="0" fillId="0" borderId="0" xfId="0" applyBorder="1"/>
    <xf numFmtId="0" fontId="0" fillId="0" borderId="0" xfId="0" applyFill="1" applyBorder="1"/>
    <xf numFmtId="0" fontId="0" fillId="0" borderId="10" xfId="0" applyBorder="1"/>
    <xf numFmtId="0" fontId="0" fillId="0" borderId="6" xfId="0" applyFill="1" applyBorder="1"/>
    <xf numFmtId="0" fontId="0" fillId="0" borderId="7" xfId="0" applyFill="1" applyBorder="1"/>
    <xf numFmtId="0" fontId="0" fillId="0" borderId="11" xfId="0" applyFill="1" applyBorder="1"/>
    <xf numFmtId="0" fontId="0" fillId="2" borderId="9" xfId="0" applyFill="1" applyBorder="1"/>
    <xf numFmtId="170" fontId="0" fillId="0" borderId="0" xfId="0" applyNumberFormat="1"/>
    <xf numFmtId="170" fontId="0" fillId="0" borderId="9" xfId="0" applyNumberFormat="1" applyBorder="1"/>
    <xf numFmtId="170" fontId="0" fillId="0" borderId="7" xfId="0" applyNumberFormat="1" applyBorder="1"/>
    <xf numFmtId="167" fontId="0" fillId="0" borderId="0" xfId="0" applyNumberFormat="1" applyBorder="1"/>
    <xf numFmtId="170" fontId="0" fillId="0" borderId="5" xfId="0" applyNumberFormat="1" applyBorder="1"/>
    <xf numFmtId="0" fontId="0" fillId="0" borderId="4" xfId="0" applyFill="1" applyBorder="1"/>
    <xf numFmtId="0" fontId="0" fillId="3" borderId="9" xfId="0" applyFill="1" applyBorder="1"/>
    <xf numFmtId="0" fontId="0" fillId="5" borderId="0" xfId="0" applyFill="1" applyBorder="1" applyAlignment="1">
      <alignment horizontal="center"/>
    </xf>
    <xf numFmtId="0" fontId="0" fillId="3" borderId="7" xfId="0" applyFill="1" applyBorder="1"/>
    <xf numFmtId="0" fontId="0" fillId="2" borderId="3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workbookViewId="0">
      <selection activeCell="D30" sqref="D30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F2" sqref="F2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54" t="s">
        <v>5</v>
      </c>
      <c r="B2" s="30">
        <v>1.5</v>
      </c>
      <c r="C2" s="19">
        <v>0.34499999999999997</v>
      </c>
      <c r="D2" s="20">
        <v>0.05</v>
      </c>
      <c r="E2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55"/>
      <c r="B3" s="24">
        <v>2.5</v>
      </c>
      <c r="C3" s="29">
        <v>0.56000000000000005</v>
      </c>
      <c r="D3" s="17">
        <v>0.05</v>
      </c>
      <c r="F3" s="26">
        <f>C7-C6</f>
        <v>0.22500000000000003</v>
      </c>
      <c r="G3" s="22" t="s">
        <v>1</v>
      </c>
    </row>
    <row r="4" spans="1:7" ht="14.65" thickBot="1">
      <c r="A4" s="56"/>
      <c r="B4" s="25">
        <v>3.5</v>
      </c>
      <c r="C4" s="18">
        <v>0.78800000000000003</v>
      </c>
      <c r="D4" s="11">
        <v>0.05</v>
      </c>
      <c r="F4" s="26">
        <f>C6-C5</f>
        <v>0.22</v>
      </c>
      <c r="G4" s="23">
        <v>760.2</v>
      </c>
    </row>
    <row r="5" spans="1:7" ht="14.65" thickBot="1">
      <c r="A5" s="54" t="s">
        <v>6</v>
      </c>
      <c r="B5" s="24">
        <v>1</v>
      </c>
      <c r="C5" s="29">
        <v>0.23</v>
      </c>
      <c r="D5" s="17">
        <v>0.05</v>
      </c>
      <c r="E5" s="14"/>
      <c r="F5" s="26">
        <f>C3-C2</f>
        <v>0.21500000000000008</v>
      </c>
    </row>
    <row r="6" spans="1:7">
      <c r="A6" s="55"/>
      <c r="B6" s="24">
        <v>2</v>
      </c>
      <c r="C6" s="29">
        <v>0.45</v>
      </c>
      <c r="D6" s="17">
        <v>0.05</v>
      </c>
      <c r="E6" s="9" t="s">
        <v>20</v>
      </c>
      <c r="F6" s="27">
        <f>AVERAGE(F2:F5)</f>
        <v>0.22200000000000003</v>
      </c>
    </row>
    <row r="7" spans="1:7" ht="14.65" thickBot="1">
      <c r="A7" s="56"/>
      <c r="B7" s="25">
        <v>3</v>
      </c>
      <c r="C7" s="18">
        <v>0.67500000000000004</v>
      </c>
      <c r="D7" s="11">
        <v>0.05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G26" sqref="G26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57" t="s">
        <v>8</v>
      </c>
      <c r="C1" s="58"/>
      <c r="D1" s="59" t="s">
        <v>10</v>
      </c>
      <c r="E1" s="58"/>
      <c r="F1" s="15"/>
      <c r="G1" s="59" t="s">
        <v>9</v>
      </c>
      <c r="H1" s="58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3</v>
      </c>
      <c r="B3">
        <v>319.2</v>
      </c>
      <c r="C3" s="17">
        <v>5</v>
      </c>
      <c r="D3" s="14">
        <v>377</v>
      </c>
      <c r="E3" s="17">
        <v>5</v>
      </c>
      <c r="F3" s="40">
        <v>5</v>
      </c>
      <c r="G3">
        <v>760</v>
      </c>
      <c r="H3" s="17">
        <v>5</v>
      </c>
    </row>
    <row r="4" spans="1:8">
      <c r="A4" s="40">
        <v>5</v>
      </c>
      <c r="B4">
        <v>534.29999999999995</v>
      </c>
      <c r="C4" s="17">
        <v>5</v>
      </c>
      <c r="D4" s="14">
        <v>632</v>
      </c>
      <c r="E4" s="17">
        <v>5</v>
      </c>
      <c r="F4" s="40">
        <v>7</v>
      </c>
      <c r="G4">
        <v>1068</v>
      </c>
      <c r="H4" s="17">
        <v>5</v>
      </c>
    </row>
    <row r="5" spans="1:8">
      <c r="A5" s="40">
        <v>7</v>
      </c>
      <c r="B5">
        <v>741.2</v>
      </c>
      <c r="C5" s="17">
        <v>6</v>
      </c>
      <c r="D5" s="14">
        <v>884</v>
      </c>
      <c r="E5" s="17">
        <v>6</v>
      </c>
      <c r="F5" s="40">
        <v>11</v>
      </c>
      <c r="G5">
        <v>1688</v>
      </c>
      <c r="H5" s="17">
        <v>6</v>
      </c>
    </row>
    <row r="6" spans="1:8">
      <c r="A6" s="40">
        <v>9</v>
      </c>
      <c r="B6">
        <v>954.1</v>
      </c>
      <c r="C6" s="17">
        <v>6</v>
      </c>
      <c r="D6" s="14">
        <v>1146</v>
      </c>
      <c r="E6" s="17">
        <v>6</v>
      </c>
      <c r="F6" s="40">
        <v>13</v>
      </c>
      <c r="G6">
        <v>1990</v>
      </c>
      <c r="H6" s="17">
        <v>6</v>
      </c>
    </row>
    <row r="7" spans="1:8" ht="14.65" thickBot="1">
      <c r="A7" s="41">
        <v>11</v>
      </c>
      <c r="B7" s="35">
        <v>1155.0999999999999</v>
      </c>
      <c r="C7" s="11">
        <v>6</v>
      </c>
      <c r="D7" s="23">
        <v>1404.5</v>
      </c>
      <c r="E7" s="11">
        <v>6</v>
      </c>
      <c r="F7" s="41">
        <v>15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H23" sqref="H23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51" t="s">
        <v>24</v>
      </c>
      <c r="B1" s="52"/>
      <c r="C1" s="52"/>
      <c r="D1" s="53"/>
      <c r="E1" s="51" t="s">
        <v>25</v>
      </c>
      <c r="F1" s="52"/>
      <c r="G1" s="52"/>
      <c r="H1" s="53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4</v>
      </c>
      <c r="B3">
        <v>440.2</v>
      </c>
      <c r="C3">
        <v>4</v>
      </c>
      <c r="D3" s="6">
        <v>1.45</v>
      </c>
      <c r="E3" s="34">
        <v>3</v>
      </c>
      <c r="F3">
        <v>314.5</v>
      </c>
      <c r="G3">
        <v>4</v>
      </c>
      <c r="H3" s="6">
        <v>1.45</v>
      </c>
    </row>
    <row r="4" spans="1:8">
      <c r="A4" s="34">
        <v>5</v>
      </c>
      <c r="B4">
        <v>549.5</v>
      </c>
      <c r="C4">
        <v>4</v>
      </c>
      <c r="D4" s="5" t="s">
        <v>27</v>
      </c>
      <c r="E4" s="34">
        <v>4</v>
      </c>
      <c r="F4">
        <v>400</v>
      </c>
      <c r="G4">
        <v>4</v>
      </c>
      <c r="H4" s="5" t="s">
        <v>27</v>
      </c>
    </row>
    <row r="5" spans="1:8">
      <c r="A5" s="34">
        <v>6</v>
      </c>
      <c r="B5">
        <v>659.5</v>
      </c>
      <c r="C5">
        <v>4</v>
      </c>
      <c r="D5" s="6">
        <v>296.64999999999998</v>
      </c>
      <c r="E5" s="34">
        <v>5</v>
      </c>
      <c r="F5">
        <v>500</v>
      </c>
      <c r="G5">
        <v>4</v>
      </c>
      <c r="H5" s="6">
        <v>296.64999999999998</v>
      </c>
    </row>
    <row r="6" spans="1:8">
      <c r="A6" s="34">
        <v>7</v>
      </c>
      <c r="B6">
        <v>769.5</v>
      </c>
      <c r="C6">
        <v>4</v>
      </c>
      <c r="D6" s="7" t="s">
        <v>18</v>
      </c>
      <c r="E6" s="34">
        <v>6</v>
      </c>
      <c r="F6">
        <v>600</v>
      </c>
      <c r="G6">
        <v>4</v>
      </c>
      <c r="H6" s="7" t="s">
        <v>18</v>
      </c>
    </row>
    <row r="7" spans="1:8" ht="14.65" thickBot="1">
      <c r="A7" s="34">
        <v>8</v>
      </c>
      <c r="B7" s="35">
        <v>882</v>
      </c>
      <c r="C7" s="11">
        <v>4</v>
      </c>
      <c r="D7" s="6">
        <v>0.5</v>
      </c>
      <c r="E7" s="34">
        <v>7</v>
      </c>
      <c r="F7" s="35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E8"/>
  <sheetViews>
    <sheetView workbookViewId="0">
      <selection activeCell="J30" sqref="J30"/>
    </sheetView>
  </sheetViews>
  <sheetFormatPr defaultRowHeight="14.25"/>
  <cols>
    <col min="4" max="4" width="10.06640625" bestFit="1" customWidth="1"/>
    <col min="5" max="7" width="13" bestFit="1" customWidth="1"/>
  </cols>
  <sheetData>
    <row r="1" spans="1:5">
      <c r="A1" s="12" t="s">
        <v>31</v>
      </c>
      <c r="B1" s="16" t="s">
        <v>35</v>
      </c>
      <c r="C1" s="16" t="s">
        <v>11</v>
      </c>
      <c r="D1" s="16" t="s">
        <v>12</v>
      </c>
      <c r="E1" s="13" t="s">
        <v>32</v>
      </c>
    </row>
    <row r="2" spans="1:5">
      <c r="A2" s="14">
        <v>1.57</v>
      </c>
      <c r="B2">
        <v>5.0000000000000001E-3</v>
      </c>
      <c r="C2">
        <v>4.4999999999999997E-3</v>
      </c>
      <c r="D2">
        <v>4.4999999999999997E-3</v>
      </c>
      <c r="E2" s="17">
        <f>AVERAGE(C2:D2)</f>
        <v>4.4999999999999997E-3</v>
      </c>
    </row>
    <row r="3" spans="1:5">
      <c r="A3" s="14">
        <v>1.37</v>
      </c>
      <c r="B3">
        <v>5.0000000000000001E-3</v>
      </c>
      <c r="C3">
        <v>3.9199999999999999E-3</v>
      </c>
      <c r="D3">
        <v>3.9199999999999999E-3</v>
      </c>
      <c r="E3" s="17">
        <f t="shared" ref="E3:E8" si="0">AVERAGE(C3:D3)</f>
        <v>3.9199999999999999E-3</v>
      </c>
    </row>
    <row r="4" spans="1:5">
      <c r="A4" s="14">
        <v>1.17</v>
      </c>
      <c r="B4">
        <v>5.0000000000000001E-3</v>
      </c>
      <c r="C4">
        <v>3.3600000000000001E-3</v>
      </c>
      <c r="D4">
        <v>3.3500000000000001E-3</v>
      </c>
      <c r="E4" s="17">
        <f t="shared" si="0"/>
        <v>3.3550000000000003E-3</v>
      </c>
    </row>
    <row r="5" spans="1:5">
      <c r="A5" s="14">
        <v>0.97</v>
      </c>
      <c r="B5">
        <v>5.0000000000000001E-3</v>
      </c>
      <c r="C5">
        <v>2.7899999999999999E-3</v>
      </c>
      <c r="D5">
        <v>2.7699999999999999E-3</v>
      </c>
      <c r="E5" s="17">
        <f t="shared" si="0"/>
        <v>2.7799999999999999E-3</v>
      </c>
    </row>
    <row r="6" spans="1:5">
      <c r="A6" s="14">
        <v>0.77</v>
      </c>
      <c r="B6">
        <v>5.0000000000000001E-3</v>
      </c>
      <c r="C6">
        <v>2.2000000000000001E-3</v>
      </c>
      <c r="D6">
        <v>2.2000000000000001E-3</v>
      </c>
      <c r="E6" s="17">
        <f t="shared" si="0"/>
        <v>2.2000000000000001E-3</v>
      </c>
    </row>
    <row r="7" spans="1:5">
      <c r="A7" s="14">
        <v>0.56999999999999995</v>
      </c>
      <c r="B7">
        <v>5.0000000000000001E-3</v>
      </c>
      <c r="C7">
        <v>1.6199999999999999E-3</v>
      </c>
      <c r="D7">
        <v>1.6199999999999999E-3</v>
      </c>
      <c r="E7" s="17">
        <f t="shared" si="0"/>
        <v>1.6199999999999999E-3</v>
      </c>
    </row>
    <row r="8" spans="1:5" ht="14.65" thickBot="1">
      <c r="A8" s="23">
        <v>0.37</v>
      </c>
      <c r="B8" s="35">
        <v>5.0000000000000001E-3</v>
      </c>
      <c r="C8" s="35">
        <v>1.0499999999999999E-3</v>
      </c>
      <c r="D8" s="35">
        <v>1.0399999999999999E-3</v>
      </c>
      <c r="E8" s="11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activeCell="A30" sqref="A30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7721-4124-4197-8679-F244BEB69CE5}">
  <dimension ref="A1:I8"/>
  <sheetViews>
    <sheetView workbookViewId="0">
      <selection activeCell="I2" sqref="I2"/>
    </sheetView>
  </sheetViews>
  <sheetFormatPr defaultRowHeight="14.25"/>
  <cols>
    <col min="2" max="2" width="12.19921875" bestFit="1" customWidth="1"/>
    <col min="3" max="3" width="12.06640625" bestFit="1" customWidth="1"/>
    <col min="4" max="4" width="12.19921875" bestFit="1" customWidth="1"/>
    <col min="5" max="5" width="12.06640625" bestFit="1" customWidth="1"/>
    <col min="7" max="7" width="12.19921875" bestFit="1" customWidth="1"/>
    <col min="8" max="8" width="21.33203125" bestFit="1" customWidth="1"/>
    <col min="9" max="9" width="14.59765625" bestFit="1" customWidth="1"/>
  </cols>
  <sheetData>
    <row r="1" spans="1:9" ht="14.65" thickBot="1">
      <c r="A1" s="15"/>
      <c r="B1" s="57" t="s">
        <v>8</v>
      </c>
      <c r="C1" s="58"/>
      <c r="D1" s="59" t="s">
        <v>10</v>
      </c>
      <c r="E1" s="58"/>
      <c r="F1" s="60" t="s">
        <v>9</v>
      </c>
      <c r="G1" s="61"/>
      <c r="H1" s="5" t="s">
        <v>15</v>
      </c>
      <c r="I1" s="66" t="s">
        <v>38</v>
      </c>
    </row>
    <row r="2" spans="1:9" ht="14.65" thickBot="1">
      <c r="A2" s="39" t="s">
        <v>0</v>
      </c>
      <c r="B2" s="37" t="s">
        <v>1</v>
      </c>
      <c r="C2" s="38" t="s">
        <v>2</v>
      </c>
      <c r="D2" s="9" t="s">
        <v>1</v>
      </c>
      <c r="E2" s="33" t="s">
        <v>2</v>
      </c>
      <c r="F2" s="9" t="s">
        <v>1</v>
      </c>
      <c r="G2" s="33" t="s">
        <v>2</v>
      </c>
      <c r="H2" s="6">
        <v>294.64999999999998</v>
      </c>
      <c r="I2" s="69" t="s">
        <v>39</v>
      </c>
    </row>
    <row r="3" spans="1:9">
      <c r="A3" s="48">
        <v>1</v>
      </c>
      <c r="B3" s="15">
        <v>105</v>
      </c>
      <c r="C3" s="70">
        <v>1</v>
      </c>
      <c r="D3" s="15">
        <v>129.30000000000001</v>
      </c>
      <c r="E3" s="20">
        <v>2</v>
      </c>
      <c r="F3" s="70">
        <v>151</v>
      </c>
      <c r="G3" s="20">
        <v>3</v>
      </c>
      <c r="H3" s="74" t="s">
        <v>18</v>
      </c>
    </row>
    <row r="4" spans="1:9" ht="14.65" thickBot="1">
      <c r="A4" s="40">
        <v>3</v>
      </c>
      <c r="B4" s="14">
        <v>315.60000000000002</v>
      </c>
      <c r="C4" s="68">
        <v>1</v>
      </c>
      <c r="D4" s="14">
        <v>386.6</v>
      </c>
      <c r="E4" s="17">
        <v>2</v>
      </c>
      <c r="F4" s="69">
        <v>456.5</v>
      </c>
      <c r="G4" s="17">
        <v>3</v>
      </c>
      <c r="H4" s="11">
        <v>0.5</v>
      </c>
    </row>
    <row r="5" spans="1:9">
      <c r="A5" s="40">
        <v>5</v>
      </c>
      <c r="B5" s="14">
        <v>525.70000000000005</v>
      </c>
      <c r="C5" s="68">
        <v>1</v>
      </c>
      <c r="D5" s="14">
        <v>645.70000000000005</v>
      </c>
      <c r="E5" s="17">
        <v>2</v>
      </c>
      <c r="F5" s="69">
        <v>760</v>
      </c>
      <c r="G5" s="17">
        <v>3</v>
      </c>
    </row>
    <row r="6" spans="1:9">
      <c r="A6" s="40">
        <v>7</v>
      </c>
      <c r="B6" s="14">
        <v>737.4</v>
      </c>
      <c r="C6" s="68">
        <v>1</v>
      </c>
      <c r="D6" s="14">
        <v>903.5</v>
      </c>
      <c r="E6" s="17">
        <v>2</v>
      </c>
      <c r="F6" s="69">
        <v>1063</v>
      </c>
      <c r="G6" s="17">
        <v>3</v>
      </c>
    </row>
    <row r="7" spans="1:9">
      <c r="A7" s="40">
        <v>9</v>
      </c>
      <c r="B7" s="14">
        <v>949.3</v>
      </c>
      <c r="C7" s="68">
        <v>1</v>
      </c>
      <c r="D7" s="14">
        <v>1162.7</v>
      </c>
      <c r="E7" s="17">
        <v>2</v>
      </c>
      <c r="F7" s="69">
        <v>1380</v>
      </c>
      <c r="G7" s="17">
        <v>3</v>
      </c>
    </row>
    <row r="8" spans="1:9" ht="14.65" thickBot="1">
      <c r="A8" s="41">
        <v>11</v>
      </c>
      <c r="B8" s="71">
        <v>1155.4000000000001</v>
      </c>
      <c r="C8" s="73">
        <v>2</v>
      </c>
      <c r="D8" s="23">
        <v>1430</v>
      </c>
      <c r="E8" s="11">
        <v>3</v>
      </c>
      <c r="F8" s="35">
        <v>1680</v>
      </c>
      <c r="G8" s="11">
        <v>4</v>
      </c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B7E5F-66CC-46E0-B48D-7AED69B96410}">
  <dimension ref="A1:H13"/>
  <sheetViews>
    <sheetView tabSelected="1" workbookViewId="0">
      <selection activeCell="C8" sqref="C8"/>
    </sheetView>
  </sheetViews>
  <sheetFormatPr defaultRowHeight="14.25"/>
  <cols>
    <col min="2" max="2" width="12.19921875" bestFit="1" customWidth="1"/>
    <col min="3" max="3" width="12.06640625" bestFit="1" customWidth="1"/>
    <col min="4" max="4" width="21.33203125" bestFit="1" customWidth="1"/>
    <col min="6" max="6" width="12.19921875" bestFit="1" customWidth="1"/>
    <col min="7" max="7" width="12.06640625" bestFit="1" customWidth="1"/>
    <col min="8" max="8" width="21.33203125" bestFit="1" customWidth="1"/>
  </cols>
  <sheetData>
    <row r="1" spans="1:8" ht="14.65" thickBot="1">
      <c r="A1" s="82" t="s">
        <v>24</v>
      </c>
      <c r="B1" s="82"/>
      <c r="C1" s="82"/>
      <c r="D1" s="82"/>
      <c r="E1" s="52" t="s">
        <v>25</v>
      </c>
      <c r="F1" s="52"/>
      <c r="G1" s="52"/>
      <c r="H1" s="53"/>
    </row>
    <row r="2" spans="1:8" ht="14.65" thickBot="1">
      <c r="A2" s="36" t="s">
        <v>0</v>
      </c>
      <c r="B2" s="37" t="s">
        <v>1</v>
      </c>
      <c r="C2" s="37" t="s">
        <v>2</v>
      </c>
      <c r="D2" s="39" t="s">
        <v>26</v>
      </c>
      <c r="E2" s="32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1</v>
      </c>
      <c r="B3" s="68">
        <v>111.5</v>
      </c>
      <c r="C3" s="68">
        <v>1</v>
      </c>
      <c r="D3" s="49">
        <v>1.46</v>
      </c>
      <c r="E3" s="13">
        <v>1</v>
      </c>
      <c r="F3" s="80">
        <v>93.5</v>
      </c>
      <c r="G3" s="20">
        <v>1</v>
      </c>
      <c r="H3" s="17">
        <v>1.454</v>
      </c>
    </row>
    <row r="4" spans="1:8">
      <c r="A4" s="34">
        <v>2</v>
      </c>
      <c r="B4" s="68">
        <v>225.3</v>
      </c>
      <c r="C4" s="68">
        <v>2</v>
      </c>
      <c r="D4" s="7" t="s">
        <v>27</v>
      </c>
      <c r="E4" s="81">
        <v>2</v>
      </c>
      <c r="F4" s="14">
        <v>188.3</v>
      </c>
      <c r="G4" s="17">
        <v>2</v>
      </c>
      <c r="H4" s="33" t="s">
        <v>27</v>
      </c>
    </row>
    <row r="5" spans="1:8">
      <c r="A5" s="34">
        <v>3</v>
      </c>
      <c r="B5" s="68">
        <v>338.4</v>
      </c>
      <c r="C5" s="68">
        <v>3</v>
      </c>
      <c r="D5" s="6">
        <v>295.64999999999998</v>
      </c>
      <c r="E5" s="81">
        <v>3</v>
      </c>
      <c r="F5" s="67">
        <v>281.89999999999998</v>
      </c>
      <c r="G5" s="17">
        <v>2</v>
      </c>
      <c r="H5" s="17">
        <v>295.14999999999998</v>
      </c>
    </row>
    <row r="6" spans="1:8">
      <c r="A6" s="34">
        <v>4</v>
      </c>
      <c r="B6" s="69">
        <v>449.8</v>
      </c>
      <c r="C6" s="68">
        <v>3</v>
      </c>
      <c r="D6" s="7" t="s">
        <v>18</v>
      </c>
      <c r="E6" s="81">
        <v>4</v>
      </c>
      <c r="F6" s="67">
        <v>374.9</v>
      </c>
      <c r="G6" s="17">
        <v>2</v>
      </c>
      <c r="H6" s="74" t="s">
        <v>18</v>
      </c>
    </row>
    <row r="7" spans="1:8" ht="14.65" thickBot="1">
      <c r="A7" s="34">
        <v>5</v>
      </c>
      <c r="B7" s="69">
        <v>561.9</v>
      </c>
      <c r="C7" s="68">
        <v>3</v>
      </c>
      <c r="D7" s="6">
        <v>0.5</v>
      </c>
      <c r="E7" s="81">
        <v>5</v>
      </c>
      <c r="F7" s="14">
        <v>469.1</v>
      </c>
      <c r="G7" s="17">
        <v>2</v>
      </c>
      <c r="H7" s="17">
        <v>0.5</v>
      </c>
    </row>
    <row r="8" spans="1:8" ht="14.65" thickBot="1">
      <c r="A8" s="50">
        <v>6</v>
      </c>
      <c r="B8" s="35">
        <v>676.4</v>
      </c>
      <c r="C8" s="35">
        <v>3</v>
      </c>
      <c r="D8" s="7" t="s">
        <v>28</v>
      </c>
      <c r="E8" s="83">
        <v>6</v>
      </c>
      <c r="F8" s="71">
        <v>560</v>
      </c>
      <c r="G8" s="72">
        <v>3</v>
      </c>
      <c r="H8" s="33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 ht="14.65" thickBot="1">
      <c r="D12" s="84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E9FB-B547-41CD-8278-951487520755}">
  <dimension ref="A1:D11"/>
  <sheetViews>
    <sheetView workbookViewId="0">
      <selection activeCell="H12" sqref="H12"/>
    </sheetView>
  </sheetViews>
  <sheetFormatPr defaultRowHeight="14.25"/>
  <cols>
    <col min="1" max="1" width="14.796875" bestFit="1" customWidth="1"/>
    <col min="2" max="2" width="10.06640625" bestFit="1" customWidth="1"/>
    <col min="3" max="3" width="14.796875" bestFit="1" customWidth="1"/>
    <col min="4" max="4" width="10.9296875" customWidth="1"/>
    <col min="5" max="5" width="10.06640625" bestFit="1" customWidth="1"/>
    <col min="6" max="6" width="4.73046875" bestFit="1" customWidth="1"/>
    <col min="7" max="7" width="5.73046875" bestFit="1" customWidth="1"/>
    <col min="8" max="9" width="7.86328125" bestFit="1" customWidth="1"/>
    <col min="10" max="10" width="10.06640625" bestFit="1" customWidth="1"/>
  </cols>
  <sheetData>
    <row r="1" spans="1:4" ht="14.65" thickBot="1">
      <c r="A1" s="62" t="s">
        <v>24</v>
      </c>
      <c r="B1" s="63"/>
      <c r="C1" s="64" t="s">
        <v>25</v>
      </c>
      <c r="D1" s="65"/>
    </row>
    <row r="2" spans="1:4">
      <c r="A2" s="12" t="s">
        <v>31</v>
      </c>
      <c r="B2" s="48" t="s">
        <v>36</v>
      </c>
      <c r="C2" s="12" t="s">
        <v>31</v>
      </c>
      <c r="D2" s="48" t="s">
        <v>36</v>
      </c>
    </row>
    <row r="3" spans="1:4" ht="14.65" thickBot="1">
      <c r="A3" s="23">
        <v>1.45</v>
      </c>
      <c r="B3" s="6"/>
      <c r="C3" s="23">
        <v>1.45</v>
      </c>
      <c r="D3" s="6"/>
    </row>
    <row r="4" spans="1:4">
      <c r="A4" s="14"/>
      <c r="B4" s="6"/>
      <c r="D4" s="6"/>
    </row>
    <row r="5" spans="1:4">
      <c r="A5" s="14"/>
      <c r="B5" s="6"/>
      <c r="D5" s="6"/>
    </row>
    <row r="6" spans="1:4">
      <c r="A6" s="14"/>
      <c r="B6" s="6"/>
      <c r="D6" s="6"/>
    </row>
    <row r="7" spans="1:4">
      <c r="A7" s="14"/>
      <c r="B7" s="6"/>
      <c r="D7" s="6"/>
    </row>
    <row r="8" spans="1:4">
      <c r="A8" s="14"/>
      <c r="B8" s="6"/>
      <c r="D8" s="6"/>
    </row>
    <row r="9" spans="1:4" ht="14.65" thickBot="1">
      <c r="A9" s="14"/>
      <c r="B9" s="6"/>
      <c r="D9" s="6"/>
    </row>
    <row r="10" spans="1:4">
      <c r="A10" s="12" t="s">
        <v>20</v>
      </c>
      <c r="B10" s="49" t="e">
        <f>AVERAGE(B3:B9)</f>
        <v>#DIV/0!</v>
      </c>
      <c r="C10" s="12" t="s">
        <v>20</v>
      </c>
      <c r="D10" s="49" t="e">
        <f>AVERAGE(D3:D9)</f>
        <v>#DIV/0!</v>
      </c>
    </row>
    <row r="11" spans="1:4" ht="14.65" thickBot="1">
      <c r="A11" s="50" t="s">
        <v>37</v>
      </c>
      <c r="B11" s="8" t="e">
        <f>_xlfn.STDEV.S(B3:B9)/COUNT(B3:B9)</f>
        <v>#DIV/0!</v>
      </c>
      <c r="C11" s="50" t="s">
        <v>37</v>
      </c>
      <c r="D11" s="8" t="e">
        <f>_xlfn.STDEV.S(D3:D9)/COUNT(D3:D9)</f>
        <v>#DIV/0!</v>
      </c>
    </row>
  </sheetData>
  <mergeCells count="2">
    <mergeCell ref="A1:B1"/>
    <mergeCell ref="C1:D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D33A-E969-4B4D-8F9E-2B427EE50E6E}">
  <dimension ref="A1:D19"/>
  <sheetViews>
    <sheetView workbookViewId="0">
      <selection activeCell="D10" sqref="D10"/>
    </sheetView>
  </sheetViews>
  <sheetFormatPr defaultRowHeight="14.25"/>
  <cols>
    <col min="1" max="1" width="12.19921875" bestFit="1" customWidth="1"/>
    <col min="2" max="2" width="11.06640625" bestFit="1" customWidth="1"/>
    <col min="3" max="3" width="10.265625" bestFit="1" customWidth="1"/>
  </cols>
  <sheetData>
    <row r="1" spans="1:4" ht="14.65" thickBot="1">
      <c r="A1" s="9" t="s">
        <v>1</v>
      </c>
      <c r="B1" s="32" t="s">
        <v>34</v>
      </c>
      <c r="C1" s="33" t="s">
        <v>36</v>
      </c>
    </row>
    <row r="2" spans="1:4">
      <c r="A2" s="15">
        <v>222</v>
      </c>
      <c r="B2" s="70">
        <v>0.05</v>
      </c>
      <c r="C2" s="79">
        <v>6.4000000000000005E-4</v>
      </c>
      <c r="D2" s="75"/>
    </row>
    <row r="3" spans="1:4">
      <c r="A3" s="14">
        <v>232</v>
      </c>
      <c r="B3" s="68">
        <v>7.0000000000000007E-2</v>
      </c>
      <c r="C3" s="76">
        <v>5.2999999999999998E-4</v>
      </c>
      <c r="D3" s="75"/>
    </row>
    <row r="4" spans="1:4">
      <c r="A4" s="67">
        <v>242</v>
      </c>
      <c r="B4" s="78">
        <v>0.09</v>
      </c>
      <c r="C4" s="76">
        <v>4.0000000000000002E-4</v>
      </c>
      <c r="D4" s="75"/>
    </row>
    <row r="5" spans="1:4">
      <c r="A5" s="14">
        <v>252</v>
      </c>
      <c r="B5" s="78">
        <v>0.16400000000000001</v>
      </c>
      <c r="C5" s="76">
        <v>4.2999999999999999E-4</v>
      </c>
      <c r="D5" s="75"/>
    </row>
    <row r="6" spans="1:4">
      <c r="A6" s="14">
        <v>262</v>
      </c>
      <c r="B6" s="78">
        <v>0.20599999999999999</v>
      </c>
      <c r="C6" s="76">
        <v>5.5000000000000003E-4</v>
      </c>
      <c r="D6" s="75"/>
    </row>
    <row r="7" spans="1:4">
      <c r="A7" s="14">
        <v>272</v>
      </c>
      <c r="B7" s="78">
        <v>0.27</v>
      </c>
      <c r="C7" s="76">
        <v>5.8E-4</v>
      </c>
      <c r="D7" s="75"/>
    </row>
    <row r="8" spans="1:4">
      <c r="A8" s="34">
        <v>282</v>
      </c>
      <c r="B8" s="78">
        <v>0.32200000000000001</v>
      </c>
      <c r="C8" s="76">
        <v>6.8999999999999997E-4</v>
      </c>
      <c r="D8" s="75"/>
    </row>
    <row r="9" spans="1:4">
      <c r="A9" s="14">
        <v>292</v>
      </c>
      <c r="B9" s="78">
        <v>0.27800000000000002</v>
      </c>
      <c r="C9" s="76">
        <v>9.5E-4</v>
      </c>
      <c r="D9" s="75"/>
    </row>
    <row r="10" spans="1:4">
      <c r="A10" s="14">
        <v>302</v>
      </c>
      <c r="B10" s="78">
        <v>0.21</v>
      </c>
      <c r="C10" s="76">
        <v>1.4400000000000001E-3</v>
      </c>
      <c r="D10" s="75"/>
    </row>
    <row r="11" spans="1:4">
      <c r="A11" s="14">
        <v>312</v>
      </c>
      <c r="B11" s="78">
        <v>0.16600000000000001</v>
      </c>
      <c r="C11" s="76">
        <v>1.7099999999999999E-3</v>
      </c>
      <c r="D11" s="75"/>
    </row>
    <row r="12" spans="1:4">
      <c r="A12" s="14">
        <v>322</v>
      </c>
      <c r="B12" s="78">
        <v>0.13800000000000001</v>
      </c>
      <c r="C12" s="76">
        <v>1.7899999999999999E-3</v>
      </c>
      <c r="D12" s="75"/>
    </row>
    <row r="13" spans="1:4">
      <c r="A13" s="14">
        <v>332</v>
      </c>
      <c r="B13" s="78">
        <v>0.11600000000000001</v>
      </c>
      <c r="C13" s="76">
        <v>1.8E-3</v>
      </c>
      <c r="D13" s="75"/>
    </row>
    <row r="14" spans="1:4" ht="14.65" thickBot="1">
      <c r="A14" s="23">
        <v>342</v>
      </c>
      <c r="B14" s="18">
        <v>0.10199999999999999</v>
      </c>
      <c r="C14" s="77">
        <v>1.81E-3</v>
      </c>
      <c r="D14" s="75"/>
    </row>
    <row r="18" spans="2:2">
      <c r="B18" s="29"/>
    </row>
    <row r="19" spans="2:2">
      <c r="B19" s="29"/>
    </row>
  </sheetData>
  <autoFilter ref="A1:C9" xr:uid="{D9FBD33A-E969-4B4D-8F9E-2B427EE50E6E}">
    <sortState xmlns:xlrd2="http://schemas.microsoft.com/office/spreadsheetml/2017/richdata2" ref="A2:C12">
      <sortCondition ref="A1:A9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BF175-338D-4DE0-99AC-C2E7E5FFDF3D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11</vt:i4>
      </vt:variant>
    </vt:vector>
  </HeadingPairs>
  <TitlesOfParts>
    <vt:vector size="11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  <vt:lpstr>Aria 2 (tubo chiuso)</vt:lpstr>
      <vt:lpstr>Argon e kripton 2</vt:lpstr>
      <vt:lpstr>Onde quadre (Argon e Kripton)</vt:lpstr>
      <vt:lpstr>Ampiezza e fase 2</vt:lpstr>
      <vt:lpstr>Foglio1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2026-05-19T12:11:18Z</dcterms:modified>
  <cp:category/>
  <cp:contentStatus/>
</cp:coreProperties>
</file>