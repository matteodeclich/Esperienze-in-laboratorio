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26" documentId="8_{34F8618C-3BC8-4D1E-A580-8499E5AA5FF8}" xr6:coauthVersionLast="47" xr6:coauthVersionMax="47" xr10:uidLastSave="{2FE062A9-A5FB-4A5B-9FCF-134333A645ED}"/>
  <bookViews>
    <workbookView xWindow="-98" yWindow="-98" windowWidth="21795" windowHeight="12975" activeTab="4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C20" i="5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</calcChain>
</file>

<file path=xl/sharedStrings.xml><?xml version="1.0" encoding="utf-8"?>
<sst xmlns="http://schemas.openxmlformats.org/spreadsheetml/2006/main" count="68" uniqueCount="38">
  <si>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</si>
  <si>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</si>
  <si>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</si>
  <si>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</si>
  <si>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</si>
  <si>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</si>
  <si>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</si>
  <si>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</si>
  <si>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</si>
  <si>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</si>
  <si>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</si>
  <si>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</si>
  <si>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</si>
  <si>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su Δt</t>
  </si>
  <si>
    <t>Frequenza hz</t>
  </si>
  <si>
    <t>Ampiezza  V</t>
  </si>
  <si>
    <t>Dt micro s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</si>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</sst>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3" borderId="8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19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17</v>
      </c>
      <c r="E3" s="7" t="s">
        <v>22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18</v>
      </c>
      <c r="E5" s="7" t="s">
        <v>34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17</v>
      </c>
      <c r="E7" s="7" t="s">
        <v>35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20</v>
      </c>
    </row>
    <row r="10" spans="1:5">
      <c r="E10" s="6">
        <v>1.4</v>
      </c>
    </row>
    <row r="11" spans="1:5">
      <c r="E11" s="52" t="s">
        <v>21</v>
      </c>
    </row>
    <row r="12" spans="1:5" ht="14.65" thickBot="1">
      <c r="E12" s="5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28</v>
      </c>
      <c r="D1" s="13" t="s">
        <v>17</v>
      </c>
      <c r="E1" s="54" t="s">
        <v>7</v>
      </c>
      <c r="F1" s="55" t="s">
        <v>23</v>
      </c>
      <c r="G1" s="9" t="s">
        <v>26</v>
      </c>
    </row>
    <row r="2" spans="1:7">
      <c r="A2" s="27" t="s">
        <v>5</v>
      </c>
      <c r="B2" s="35">
        <v>1.5</v>
      </c>
      <c r="C2" s="19">
        <v>0.34499999999999997</v>
      </c>
      <c r="D2" s="20">
        <v>0.05</v>
      </c>
      <c r="E2" s="34">
        <f>G2/G4</f>
        <v>0.45381056300973421</v>
      </c>
      <c r="F2" s="30">
        <f>C4-C3</f>
        <v>0.22799999999999998</v>
      </c>
      <c r="G2" s="21">
        <v>344.98678999999998</v>
      </c>
    </row>
    <row r="3" spans="1:7">
      <c r="A3" s="28"/>
      <c r="B3" s="25">
        <v>2.5</v>
      </c>
      <c r="C3" s="33">
        <v>0.56000000000000005</v>
      </c>
      <c r="D3" s="17">
        <v>0.05</v>
      </c>
      <c r="E3" s="34"/>
      <c r="F3" s="30">
        <f>C7-C6</f>
        <v>0.22500000000000003</v>
      </c>
      <c r="G3" s="22" t="s">
        <v>1</v>
      </c>
    </row>
    <row r="4" spans="1:7" ht="14.65" thickBot="1">
      <c r="A4" s="29"/>
      <c r="B4" s="26">
        <v>3.5</v>
      </c>
      <c r="C4" s="18">
        <v>0.78800000000000003</v>
      </c>
      <c r="D4" s="11">
        <v>0.05</v>
      </c>
      <c r="E4" s="34"/>
      <c r="F4" s="30">
        <f>C6-C5</f>
        <v>0.22</v>
      </c>
      <c r="G4" s="23">
        <v>760.2</v>
      </c>
    </row>
    <row r="5" spans="1:7" ht="14.65" thickBot="1">
      <c r="A5" s="27" t="s">
        <v>6</v>
      </c>
      <c r="B5" s="25">
        <v>1</v>
      </c>
      <c r="C5" s="33">
        <v>0.23</v>
      </c>
      <c r="D5" s="17">
        <v>0.05</v>
      </c>
      <c r="E5" s="14"/>
      <c r="F5" s="30">
        <f>C3-C2</f>
        <v>0.21500000000000008</v>
      </c>
    </row>
    <row r="6" spans="1:7">
      <c r="A6" s="28"/>
      <c r="B6" s="25">
        <v>2</v>
      </c>
      <c r="C6" s="33">
        <v>0.45</v>
      </c>
      <c r="D6" s="17">
        <v>0.05</v>
      </c>
      <c r="E6" s="9" t="s">
        <v>24</v>
      </c>
      <c r="F6" s="31">
        <f>AVERAGE(F2:F5)</f>
        <v>0.22200000000000003</v>
      </c>
    </row>
    <row r="7" spans="1:7" ht="14.65" thickBot="1">
      <c r="A7" s="29"/>
      <c r="B7" s="26">
        <v>3</v>
      </c>
      <c r="C7" s="18">
        <v>0.67500000000000004</v>
      </c>
      <c r="D7" s="11">
        <v>0.05</v>
      </c>
      <c r="E7" s="10" t="s">
        <v>25</v>
      </c>
      <c r="F7" s="32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C30" sqref="C30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5" t="s">
        <v>8</v>
      </c>
      <c r="C1" s="44"/>
      <c r="D1" s="43" t="s">
        <v>10</v>
      </c>
      <c r="E1" s="44"/>
      <c r="F1" s="15"/>
      <c r="G1" s="43" t="s">
        <v>9</v>
      </c>
      <c r="H1" s="44"/>
    </row>
    <row r="2" spans="1:8" ht="14.65" thickBot="1">
      <c r="A2" s="49" t="s">
        <v>0</v>
      </c>
      <c r="B2" s="47" t="s">
        <v>1</v>
      </c>
      <c r="C2" s="48" t="s">
        <v>2</v>
      </c>
      <c r="D2" s="46" t="s">
        <v>1</v>
      </c>
      <c r="E2" s="48" t="s">
        <v>2</v>
      </c>
      <c r="F2" s="46" t="s">
        <v>0</v>
      </c>
      <c r="G2" s="46" t="s">
        <v>1</v>
      </c>
      <c r="H2" s="48" t="s">
        <v>2</v>
      </c>
    </row>
    <row r="3" spans="1:8">
      <c r="A3" s="50">
        <v>1</v>
      </c>
      <c r="B3" s="34">
        <v>319.2</v>
      </c>
      <c r="C3" s="17">
        <v>5</v>
      </c>
      <c r="D3" s="14">
        <v>377</v>
      </c>
      <c r="E3" s="17">
        <v>5</v>
      </c>
      <c r="F3" s="50">
        <v>1</v>
      </c>
      <c r="G3" s="34">
        <v>760</v>
      </c>
      <c r="H3" s="17">
        <v>5</v>
      </c>
    </row>
    <row r="4" spans="1:8">
      <c r="A4" s="50">
        <v>3</v>
      </c>
      <c r="B4" s="34">
        <v>534.29999999999995</v>
      </c>
      <c r="C4" s="17">
        <v>5</v>
      </c>
      <c r="D4" s="14">
        <v>632</v>
      </c>
      <c r="E4" s="17">
        <v>5</v>
      </c>
      <c r="F4" s="50">
        <v>3</v>
      </c>
      <c r="G4" s="34">
        <v>1068</v>
      </c>
      <c r="H4" s="17">
        <v>5</v>
      </c>
    </row>
    <row r="5" spans="1:8">
      <c r="A5" s="50">
        <v>5</v>
      </c>
      <c r="B5" s="34">
        <v>741.2</v>
      </c>
      <c r="C5" s="17">
        <v>6</v>
      </c>
      <c r="D5" s="14">
        <v>884</v>
      </c>
      <c r="E5" s="17">
        <v>6</v>
      </c>
      <c r="F5" s="50">
        <v>7</v>
      </c>
      <c r="G5" s="34">
        <v>1688</v>
      </c>
      <c r="H5" s="17">
        <v>6</v>
      </c>
    </row>
    <row r="6" spans="1:8">
      <c r="A6" s="50">
        <v>7</v>
      </c>
      <c r="B6" s="34">
        <v>954.1</v>
      </c>
      <c r="C6" s="17">
        <v>6</v>
      </c>
      <c r="D6" s="14">
        <v>1146</v>
      </c>
      <c r="E6" s="17">
        <v>6</v>
      </c>
      <c r="F6" s="50">
        <v>9</v>
      </c>
      <c r="G6" s="34">
        <v>1990</v>
      </c>
      <c r="H6" s="17">
        <v>6</v>
      </c>
    </row>
    <row r="7" spans="1:8" ht="14.65" thickBot="1">
      <c r="A7" s="51">
        <v>9</v>
      </c>
      <c r="B7" s="39">
        <v>1155.0999999999999</v>
      </c>
      <c r="C7" s="11">
        <v>6</v>
      </c>
      <c r="D7" s="23">
        <v>1404.5</v>
      </c>
      <c r="E7" s="11">
        <v>6</v>
      </c>
      <c r="F7" s="51">
        <v>11</v>
      </c>
      <c r="G7" s="39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A2" sqref="A2:H7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40" t="s">
        <v>29</v>
      </c>
      <c r="B1" s="41"/>
      <c r="C1" s="41"/>
      <c r="D1" s="42"/>
      <c r="E1" s="40" t="s">
        <v>30</v>
      </c>
      <c r="F1" s="41"/>
      <c r="G1" s="41"/>
      <c r="H1" s="42"/>
    </row>
    <row r="2" spans="1:8">
      <c r="A2" s="9" t="s">
        <v>0</v>
      </c>
      <c r="B2" s="37" t="s">
        <v>1</v>
      </c>
      <c r="C2" s="37" t="s">
        <v>2</v>
      </c>
      <c r="D2" s="5" t="s">
        <v>31</v>
      </c>
      <c r="E2" s="9" t="s">
        <v>0</v>
      </c>
      <c r="F2" s="37" t="s">
        <v>1</v>
      </c>
      <c r="G2" s="37" t="s">
        <v>2</v>
      </c>
      <c r="H2" s="5" t="s">
        <v>31</v>
      </c>
    </row>
    <row r="3" spans="1:8" ht="14.65" thickBot="1">
      <c r="A3" s="38">
        <v>1</v>
      </c>
      <c r="B3" s="34">
        <v>440.2</v>
      </c>
      <c r="C3" s="34">
        <v>4</v>
      </c>
      <c r="D3" s="6">
        <v>1.45</v>
      </c>
      <c r="E3" s="38">
        <v>1</v>
      </c>
      <c r="F3" s="34">
        <v>314.5</v>
      </c>
      <c r="G3" s="34">
        <v>4</v>
      </c>
      <c r="H3" s="6">
        <v>1.45</v>
      </c>
    </row>
    <row r="4" spans="1:8">
      <c r="A4" s="38">
        <v>2</v>
      </c>
      <c r="B4" s="34">
        <v>549.5</v>
      </c>
      <c r="C4" s="34">
        <v>4</v>
      </c>
      <c r="D4" s="5" t="s">
        <v>32</v>
      </c>
      <c r="E4" s="38">
        <v>2</v>
      </c>
      <c r="F4" s="34">
        <v>400</v>
      </c>
      <c r="G4" s="34">
        <v>4</v>
      </c>
      <c r="H4" s="5" t="s">
        <v>32</v>
      </c>
    </row>
    <row r="5" spans="1:8">
      <c r="A5" s="38">
        <v>3</v>
      </c>
      <c r="B5" s="34">
        <v>659.5</v>
      </c>
      <c r="C5" s="34">
        <v>4</v>
      </c>
      <c r="D5" s="6">
        <v>296.64999999999998</v>
      </c>
      <c r="E5" s="38">
        <v>3</v>
      </c>
      <c r="F5" s="34">
        <v>500</v>
      </c>
      <c r="G5" s="34">
        <v>4</v>
      </c>
      <c r="H5" s="6">
        <v>296.64999999999998</v>
      </c>
    </row>
    <row r="6" spans="1:8">
      <c r="A6" s="38">
        <v>4</v>
      </c>
      <c r="B6" s="34">
        <v>769.5</v>
      </c>
      <c r="C6" s="34">
        <v>4</v>
      </c>
      <c r="D6" s="7" t="s">
        <v>22</v>
      </c>
      <c r="E6" s="38">
        <v>4</v>
      </c>
      <c r="F6" s="34">
        <v>600</v>
      </c>
      <c r="G6" s="34">
        <v>4</v>
      </c>
      <c r="H6" s="7" t="s">
        <v>22</v>
      </c>
    </row>
    <row r="7" spans="1:8" ht="14.65" thickBot="1">
      <c r="A7" s="38">
        <v>5</v>
      </c>
      <c r="B7" s="39">
        <v>882</v>
      </c>
      <c r="C7" s="11">
        <v>4</v>
      </c>
      <c r="D7" s="6">
        <v>0.5</v>
      </c>
      <c r="E7" s="38">
        <v>5</v>
      </c>
      <c r="F7" s="39">
        <v>700</v>
      </c>
      <c r="G7" s="39">
        <v>4</v>
      </c>
      <c r="H7" s="6">
        <v>0.5</v>
      </c>
    </row>
    <row r="8" spans="1:8">
      <c r="D8" s="7" t="s">
        <v>33</v>
      </c>
      <c r="H8" s="5" t="s">
        <v>33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35</v>
      </c>
      <c r="H10" s="7" t="s">
        <v>35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20</v>
      </c>
      <c r="H12" s="7" t="s">
        <v>20</v>
      </c>
    </row>
    <row r="13" spans="1:8" ht="14.65" thickBot="1">
      <c r="D13" s="36">
        <v>1.6666666666666667</v>
      </c>
      <c r="H13" s="36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tabSelected="1" workbookViewId="0">
      <selection activeCell="G19" sqref="G19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2" t="s">
        <v>36</v>
      </c>
      <c r="B1" s="2" t="s">
        <v>11</v>
      </c>
      <c r="C1" s="2" t="s">
        <v>12</v>
      </c>
      <c r="D1" s="2" t="s">
        <v>37</v>
      </c>
      <c r="E1" s="2" t="s">
        <v>13</v>
      </c>
    </row>
    <row r="2" spans="1:5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  <c r="E2">
        <v>5.0000000000000001E-4</v>
      </c>
    </row>
    <row r="3" spans="1:5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5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5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5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5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5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20" sqref="D20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14</v>
      </c>
      <c r="B1" t="s">
        <v>15</v>
      </c>
      <c r="C1" t="s">
        <v>16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9" t="s">
        <v>26</v>
      </c>
      <c r="B14" s="12" t="s">
        <v>0</v>
      </c>
      <c r="C14" s="13" t="s">
        <v>27</v>
      </c>
    </row>
    <row r="15" spans="1:7">
      <c r="A15" s="21">
        <v>344.98678999999998</v>
      </c>
      <c r="B15" s="14">
        <v>1</v>
      </c>
      <c r="C15" s="17">
        <f>A15/(2*A17)</f>
        <v>0.22690528150486711</v>
      </c>
    </row>
    <row r="16" spans="1:7">
      <c r="A16" s="22" t="s">
        <v>1</v>
      </c>
      <c r="B16" s="24">
        <v>1.5</v>
      </c>
      <c r="C16" s="17">
        <f>3*A15/(4*A17)</f>
        <v>0.34035792225730072</v>
      </c>
    </row>
    <row r="17" spans="1:3" ht="14.65" thickBot="1">
      <c r="A17" s="23">
        <v>760.2</v>
      </c>
      <c r="B17" s="14">
        <v>2</v>
      </c>
      <c r="C17" s="17">
        <f>A15/A17</f>
        <v>0.45381056300973421</v>
      </c>
    </row>
    <row r="18" spans="1:3">
      <c r="B18" s="25">
        <v>2.5</v>
      </c>
      <c r="C18" s="17">
        <f>(5*A15)/(4*A17)</f>
        <v>0.56726320376216777</v>
      </c>
    </row>
    <row r="19" spans="1:3">
      <c r="B19" s="24">
        <v>3</v>
      </c>
      <c r="C19" s="17">
        <f>3*A15/(2*A17)</f>
        <v>0.68071584451460143</v>
      </c>
    </row>
    <row r="20" spans="1:3" ht="14.65" thickBot="1">
      <c r="B20" s="26">
        <v>3.5</v>
      </c>
      <c r="C20" s="11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2026-05-07T13:52:54Z</dcterms:modified>
  <cp:category/>
  <cp:contentStatus/>
</cp:coreProperties>
</file>