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367" documentId="8_{34F8618C-3BC8-4D1E-A580-8499E5AA5FF8}" xr6:coauthVersionLast="47" xr6:coauthVersionMax="47" xr10:uidLastSave="{56AF5256-C1C6-4A2F-830C-638FD30A084F}"/>
  <bookViews>
    <workbookView xWindow="-98" yWindow="-98" windowWidth="21795" windowHeight="12975" firstSheet="8" activeTab="8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Ampiezza e fase 2" sheetId="10" r:id="rId9"/>
  </sheets>
  <definedNames>
    <definedName name="_xlnm._FilterDatabase" localSheetId="8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<sst xmlns="http://schemas.openxmlformats.org/spreadsheetml/2006/main" count="101" uniqueCount="39">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</sst>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#,##0.000000000"/>
    <numFmt numFmtId="166" formatCode="#,##0.00000"/>
    <numFmt numFmtId="167" formatCode="0.000"/>
    <numFmt numFmtId="168" formatCode="0.00000"/>
    <numFmt numFmtId="171" formatCode="0.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0" borderId="10" xfId="0" applyBorder="1"/>
    <xf numFmtId="0" fontId="0" fillId="2" borderId="9" xfId="0" applyFill="1" applyBorder="1"/>
    <xf numFmtId="1" fontId="0" fillId="0" borderId="11" xfId="0" applyNumberFormat="1" applyBorder="1"/>
    <xf numFmtId="168" fontId="0" fillId="0" borderId="0" xfId="0" applyNumberFormat="1"/>
    <xf numFmtId="168" fontId="0" fillId="0" borderId="9" xfId="0" applyNumberFormat="1" applyBorder="1"/>
    <xf numFmtId="168" fontId="0" fillId="0" borderId="7" xfId="0" applyNumberFormat="1" applyBorder="1"/>
    <xf numFmtId="168" fontId="0" fillId="0" borderId="5" xfId="0" applyNumberFormat="1" applyBorder="1"/>
    <xf numFmtId="0" fontId="0" fillId="3" borderId="9" xfId="0" applyFill="1" applyBorder="1"/>
    <xf numFmtId="0" fontId="0" fillId="3" borderId="7" xfId="0" applyFill="1" applyBorder="1"/>
    <xf numFmtId="0" fontId="0" fillId="2" borderId="3" xfId="0" applyFill="1" applyBorder="1"/>
    <xf numFmtId="1" fontId="0" fillId="0" borderId="0" xfId="0" applyNumberFormat="1"/>
    <xf numFmtId="1" fontId="0" fillId="0" borderId="4" xfId="0" applyNumberFormat="1" applyBorder="1"/>
    <xf numFmtId="1" fontId="0" fillId="0" borderId="8" xfId="0" applyNumberFormat="1" applyBorder="1"/>
    <xf numFmtId="1" fontId="0" fillId="0" borderId="6" xfId="0" applyNumberFormat="1" applyBorder="1"/>
    <xf numFmtId="0" fontId="0" fillId="5" borderId="0" xfId="0" applyFill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164" fontId="0" fillId="0" borderId="2" xfId="0" applyNumberFormat="1" applyBorder="1"/>
    <xf numFmtId="171" fontId="0" fillId="0" borderId="3" xfId="0" applyNumberFormat="1" applyBorder="1"/>
    <xf numFmtId="1" fontId="0" fillId="0" borderId="10" xfId="0" applyNumberFormat="1" applyBorder="1"/>
    <xf numFmtId="164" fontId="0" fillId="0" borderId="9" xfId="0" applyNumberFormat="1" applyBorder="1"/>
    <xf numFmtId="2" fontId="0" fillId="0" borderId="0" xfId="0" applyNumberFormat="1"/>
    <xf numFmtId="2" fontId="0" fillId="0" borderId="11" xfId="0" applyNumberFormat="1" applyBorder="1"/>
    <xf numFmtId="171" fontId="0" fillId="0" borderId="9" xfId="0" applyNumberFormat="1" applyBorder="1"/>
    <xf numFmtId="171" fontId="0" fillId="0" borderId="7" xfId="0" applyNumberFormat="1" applyBorder="1"/>
    <xf numFmtId="2" fontId="0" fillId="0" borderId="8" xfId="0" applyNumberFormat="1" applyBorder="1"/>
    <xf numFmtId="171" fontId="0" fillId="0" borderId="2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62">
        <v>190.1</v>
      </c>
      <c r="C2" s="20">
        <v>4</v>
      </c>
      <c r="D2" s="14">
        <v>3.5000000000000003E-2</v>
      </c>
      <c r="E2" s="77">
        <v>296.14999999999998</v>
      </c>
    </row>
    <row r="3" spans="1:5">
      <c r="A3" s="2">
        <v>2</v>
      </c>
      <c r="B3" s="63">
        <v>381</v>
      </c>
      <c r="C3" s="17">
        <v>4</v>
      </c>
      <c r="D3" s="22" t="s">
        <v>13</v>
      </c>
      <c r="E3" s="7" t="s">
        <v>18</v>
      </c>
    </row>
    <row r="4" spans="1:5">
      <c r="A4" s="2">
        <v>3</v>
      </c>
      <c r="B4" s="63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63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64">
        <v>935.6</v>
      </c>
      <c r="C6" s="11">
        <v>4</v>
      </c>
      <c r="D6" s="85">
        <v>0.9</v>
      </c>
      <c r="E6" s="8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E2" sqref="E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68" t="s">
        <v>5</v>
      </c>
      <c r="B2" s="30">
        <v>1.5</v>
      </c>
      <c r="C2" s="19">
        <v>0.34499999999999997</v>
      </c>
      <c r="D2" s="20">
        <v>5.0000000000000001E-3</v>
      </c>
      <c r="E2" s="29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69"/>
      <c r="B3" s="24">
        <v>2.5</v>
      </c>
      <c r="C3" s="29">
        <v>0.56000000000000005</v>
      </c>
      <c r="D3" s="17">
        <v>5.0000000000000001E-3</v>
      </c>
      <c r="F3" s="26">
        <f>C7-C6</f>
        <v>0.22500000000000003</v>
      </c>
      <c r="G3" s="22" t="s">
        <v>1</v>
      </c>
    </row>
    <row r="4" spans="1:7" ht="14.65" thickBot="1">
      <c r="A4" s="70"/>
      <c r="B4" s="25">
        <v>3.5</v>
      </c>
      <c r="C4" s="18">
        <v>0.78800000000000003</v>
      </c>
      <c r="D4" s="11">
        <v>5.0000000000000001E-3</v>
      </c>
      <c r="F4" s="26">
        <f>C6-C5</f>
        <v>0.22</v>
      </c>
      <c r="G4" s="23">
        <v>760.2</v>
      </c>
    </row>
    <row r="5" spans="1:7" ht="14.65" thickBot="1">
      <c r="A5" s="68" t="s">
        <v>6</v>
      </c>
      <c r="B5" s="24">
        <v>1</v>
      </c>
      <c r="C5" s="29">
        <v>0.23</v>
      </c>
      <c r="D5" s="17">
        <v>5.0000000000000001E-3</v>
      </c>
      <c r="E5" s="14"/>
      <c r="F5" s="26">
        <f>C3-C2</f>
        <v>0.21500000000000008</v>
      </c>
    </row>
    <row r="6" spans="1:7">
      <c r="A6" s="69"/>
      <c r="B6" s="24">
        <v>2</v>
      </c>
      <c r="C6" s="29">
        <v>0.45</v>
      </c>
      <c r="D6" s="17">
        <v>5.0000000000000001E-3</v>
      </c>
      <c r="E6" s="9" t="s">
        <v>20</v>
      </c>
      <c r="F6" s="27">
        <f>AVERAGE(F2:F5)</f>
        <v>0.22200000000000003</v>
      </c>
    </row>
    <row r="7" spans="1:7" ht="14.65" thickBot="1">
      <c r="A7" s="70"/>
      <c r="B7" s="25">
        <v>3</v>
      </c>
      <c r="C7" s="18">
        <v>0.67500000000000004</v>
      </c>
      <c r="D7" s="11">
        <v>5.0000000000000001E-3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D3" sqref="D3:D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71" t="s">
        <v>8</v>
      </c>
      <c r="C1" s="72"/>
      <c r="D1" s="73" t="s">
        <v>10</v>
      </c>
      <c r="E1" s="72"/>
      <c r="F1" s="15"/>
      <c r="G1" s="73" t="s">
        <v>9</v>
      </c>
      <c r="H1" s="7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 s="61">
        <v>319.2</v>
      </c>
      <c r="C3" s="17">
        <v>5</v>
      </c>
      <c r="D3" s="63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 s="61">
        <v>534.29999999999995</v>
      </c>
      <c r="C4" s="17">
        <v>5</v>
      </c>
      <c r="D4" s="63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 s="61">
        <v>741.2</v>
      </c>
      <c r="C5" s="17">
        <v>6</v>
      </c>
      <c r="D5" s="63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 s="61">
        <v>954.1</v>
      </c>
      <c r="C6" s="17">
        <v>6</v>
      </c>
      <c r="D6" s="63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53">
        <v>1155.0999999999999</v>
      </c>
      <c r="C7" s="11">
        <v>6</v>
      </c>
      <c r="D7" s="64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F3" sqref="F3:F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74" t="s">
        <v>24</v>
      </c>
      <c r="B1" s="66"/>
      <c r="C1" s="66"/>
      <c r="D1" s="67"/>
      <c r="E1" s="74" t="s">
        <v>25</v>
      </c>
      <c r="F1" s="66"/>
      <c r="G1" s="66"/>
      <c r="H1" s="67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 s="61">
        <v>440.2</v>
      </c>
      <c r="C3">
        <v>4</v>
      </c>
      <c r="D3" s="6">
        <v>1.45</v>
      </c>
      <c r="E3" s="34">
        <v>3</v>
      </c>
      <c r="F3" s="61">
        <v>314.5</v>
      </c>
      <c r="G3">
        <v>4</v>
      </c>
      <c r="H3" s="6">
        <v>1.45</v>
      </c>
    </row>
    <row r="4" spans="1:8">
      <c r="A4" s="34">
        <v>5</v>
      </c>
      <c r="B4" s="61">
        <v>549.5</v>
      </c>
      <c r="C4">
        <v>4</v>
      </c>
      <c r="D4" s="5" t="s">
        <v>27</v>
      </c>
      <c r="E4" s="34">
        <v>4</v>
      </c>
      <c r="F4" s="61">
        <v>400</v>
      </c>
      <c r="G4">
        <v>4</v>
      </c>
      <c r="H4" s="5" t="s">
        <v>27</v>
      </c>
    </row>
    <row r="5" spans="1:8">
      <c r="A5" s="34">
        <v>6</v>
      </c>
      <c r="B5" s="61">
        <v>659.5</v>
      </c>
      <c r="C5">
        <v>4</v>
      </c>
      <c r="D5" s="6">
        <v>296.64999999999998</v>
      </c>
      <c r="E5" s="34">
        <v>5</v>
      </c>
      <c r="F5" s="61">
        <v>500</v>
      </c>
      <c r="G5">
        <v>4</v>
      </c>
      <c r="H5" s="6">
        <v>296.64999999999998</v>
      </c>
    </row>
    <row r="6" spans="1:8">
      <c r="A6" s="34">
        <v>7</v>
      </c>
      <c r="B6" s="61">
        <v>769.5</v>
      </c>
      <c r="C6">
        <v>4</v>
      </c>
      <c r="D6" s="7" t="s">
        <v>18</v>
      </c>
      <c r="E6" s="34">
        <v>6</v>
      </c>
      <c r="F6" s="61">
        <v>600</v>
      </c>
      <c r="G6">
        <v>4</v>
      </c>
      <c r="H6" s="7" t="s">
        <v>18</v>
      </c>
    </row>
    <row r="7" spans="1:8" ht="14.65" thickBot="1">
      <c r="A7" s="34">
        <v>8</v>
      </c>
      <c r="B7" s="53">
        <v>882</v>
      </c>
      <c r="C7" s="11">
        <v>4</v>
      </c>
      <c r="D7" s="6">
        <v>0.5</v>
      </c>
      <c r="E7" s="34">
        <v>7</v>
      </c>
      <c r="F7" s="53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G13" sqref="G13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 s="81">
        <v>5.0000000000000001E-3</v>
      </c>
      <c r="C2">
        <v>4.4999999999999997E-3</v>
      </c>
      <c r="D2">
        <v>4.4999999999999997E-3</v>
      </c>
      <c r="E2" s="83">
        <f>AVERAGE(C2:D2)</f>
        <v>4.4999999999999997E-3</v>
      </c>
    </row>
    <row r="3" spans="1:5">
      <c r="A3" s="14">
        <v>1.37</v>
      </c>
      <c r="B3" s="81">
        <v>5.0000000000000001E-3</v>
      </c>
      <c r="C3">
        <v>3.9199999999999999E-3</v>
      </c>
      <c r="D3">
        <v>3.9199999999999999E-3</v>
      </c>
      <c r="E3" s="83">
        <f t="shared" ref="E3:E8" si="0">AVERAGE(C3:D3)</f>
        <v>3.9199999999999999E-3</v>
      </c>
    </row>
    <row r="4" spans="1:5">
      <c r="A4" s="14">
        <v>1.17</v>
      </c>
      <c r="B4" s="81">
        <v>5.0000000000000001E-3</v>
      </c>
      <c r="C4">
        <v>3.3600000000000001E-3</v>
      </c>
      <c r="D4">
        <v>3.3500000000000001E-3</v>
      </c>
      <c r="E4" s="83">
        <f t="shared" si="0"/>
        <v>3.3550000000000003E-3</v>
      </c>
    </row>
    <row r="5" spans="1:5">
      <c r="A5" s="14">
        <v>0.97</v>
      </c>
      <c r="B5" s="81">
        <v>5.0000000000000001E-3</v>
      </c>
      <c r="C5">
        <v>2.7899999999999999E-3</v>
      </c>
      <c r="D5">
        <v>2.7699999999999999E-3</v>
      </c>
      <c r="E5" s="83">
        <f t="shared" si="0"/>
        <v>2.7799999999999999E-3</v>
      </c>
    </row>
    <row r="6" spans="1:5">
      <c r="A6" s="14">
        <v>0.77</v>
      </c>
      <c r="B6" s="81">
        <v>5.0000000000000001E-3</v>
      </c>
      <c r="C6">
        <v>2.2000000000000001E-3</v>
      </c>
      <c r="D6">
        <v>2.2000000000000001E-3</v>
      </c>
      <c r="E6" s="83">
        <f t="shared" si="0"/>
        <v>2.2000000000000001E-3</v>
      </c>
    </row>
    <row r="7" spans="1:5">
      <c r="A7" s="14">
        <v>0.56999999999999995</v>
      </c>
      <c r="B7" s="81">
        <v>5.0000000000000001E-3</v>
      </c>
      <c r="C7">
        <v>1.6199999999999999E-3</v>
      </c>
      <c r="D7">
        <v>1.6199999999999999E-3</v>
      </c>
      <c r="E7" s="83">
        <f t="shared" si="0"/>
        <v>1.6199999999999999E-3</v>
      </c>
    </row>
    <row r="8" spans="1:5" ht="14.65" thickBot="1">
      <c r="A8" s="23">
        <v>0.37</v>
      </c>
      <c r="B8" s="82">
        <v>5.0000000000000001E-3</v>
      </c>
      <c r="C8" s="35">
        <v>1.0499999999999999E-3</v>
      </c>
      <c r="D8" s="35">
        <v>1.0399999999999999E-3</v>
      </c>
      <c r="E8" s="84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D3" sqref="D3:D8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71" t="s">
        <v>8</v>
      </c>
      <c r="C1" s="72"/>
      <c r="D1" s="73" t="s">
        <v>10</v>
      </c>
      <c r="E1" s="72"/>
      <c r="F1" s="75" t="s">
        <v>9</v>
      </c>
      <c r="G1" s="76"/>
      <c r="H1" s="5" t="s">
        <v>15</v>
      </c>
      <c r="I1" s="1" t="s">
        <v>37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77">
        <v>294.64999999999998</v>
      </c>
      <c r="I2" t="s">
        <v>38</v>
      </c>
    </row>
    <row r="3" spans="1:9">
      <c r="A3" s="48">
        <v>1</v>
      </c>
      <c r="B3" s="62">
        <v>105</v>
      </c>
      <c r="C3" s="51">
        <v>1</v>
      </c>
      <c r="D3" s="62">
        <v>129.30000000000001</v>
      </c>
      <c r="E3" s="20">
        <v>2</v>
      </c>
      <c r="F3" s="79">
        <v>151</v>
      </c>
      <c r="G3" s="20">
        <v>3</v>
      </c>
      <c r="H3" s="52" t="s">
        <v>18</v>
      </c>
    </row>
    <row r="4" spans="1:9" ht="14.65" thickBot="1">
      <c r="A4" s="40">
        <v>3</v>
      </c>
      <c r="B4" s="63">
        <v>315.60000000000002</v>
      </c>
      <c r="C4">
        <v>1</v>
      </c>
      <c r="D4" s="63">
        <v>386.6</v>
      </c>
      <c r="E4" s="17">
        <v>2</v>
      </c>
      <c r="F4" s="61">
        <v>456.5</v>
      </c>
      <c r="G4" s="17">
        <v>3</v>
      </c>
      <c r="H4" s="11">
        <v>0.5</v>
      </c>
    </row>
    <row r="5" spans="1:9">
      <c r="A5" s="40">
        <v>5</v>
      </c>
      <c r="B5" s="63">
        <v>525.70000000000005</v>
      </c>
      <c r="C5">
        <v>1</v>
      </c>
      <c r="D5" s="63">
        <v>645.70000000000005</v>
      </c>
      <c r="E5" s="17">
        <v>2</v>
      </c>
      <c r="F5" s="61">
        <v>760</v>
      </c>
      <c r="G5" s="17">
        <v>3</v>
      </c>
    </row>
    <row r="6" spans="1:9">
      <c r="A6" s="40">
        <v>7</v>
      </c>
      <c r="B6" s="63">
        <v>737.4</v>
      </c>
      <c r="C6">
        <v>1</v>
      </c>
      <c r="D6" s="63">
        <v>903.5</v>
      </c>
      <c r="E6" s="17">
        <v>2</v>
      </c>
      <c r="F6" s="61">
        <v>1063</v>
      </c>
      <c r="G6" s="17">
        <v>3</v>
      </c>
    </row>
    <row r="7" spans="1:9">
      <c r="A7" s="40">
        <v>9</v>
      </c>
      <c r="B7" s="63">
        <v>949.3</v>
      </c>
      <c r="C7">
        <v>1</v>
      </c>
      <c r="D7" s="63">
        <v>1162.7</v>
      </c>
      <c r="E7" s="17">
        <v>2</v>
      </c>
      <c r="F7" s="61">
        <v>1380</v>
      </c>
      <c r="G7" s="17">
        <v>3</v>
      </c>
    </row>
    <row r="8" spans="1:9" ht="14.65" thickBot="1">
      <c r="A8" s="41">
        <v>11</v>
      </c>
      <c r="B8" s="64">
        <v>1155.4000000000001</v>
      </c>
      <c r="C8" s="35">
        <v>2</v>
      </c>
      <c r="D8" s="64">
        <v>1430</v>
      </c>
      <c r="E8" s="11">
        <v>3</v>
      </c>
      <c r="F8" s="53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H5" sqref="H5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65" t="s">
        <v>24</v>
      </c>
      <c r="B1" s="65"/>
      <c r="C1" s="65"/>
      <c r="D1" s="65"/>
      <c r="E1" s="66" t="s">
        <v>25</v>
      </c>
      <c r="F1" s="66"/>
      <c r="G1" s="66"/>
      <c r="H1" s="67"/>
    </row>
    <row r="2" spans="1:8" ht="14.65" thickBot="1">
      <c r="A2" s="36" t="s">
        <v>0</v>
      </c>
      <c r="B2" s="37" t="s">
        <v>1</v>
      </c>
      <c r="C2" s="37" t="s">
        <v>2</v>
      </c>
      <c r="D2" s="39" t="s">
        <v>26</v>
      </c>
      <c r="E2" s="32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 s="61">
        <v>112</v>
      </c>
      <c r="C3" s="20">
        <v>5</v>
      </c>
      <c r="D3" s="49">
        <v>1.46</v>
      </c>
      <c r="E3" s="13">
        <v>1</v>
      </c>
      <c r="F3" s="62">
        <v>94</v>
      </c>
      <c r="G3" s="20">
        <v>5</v>
      </c>
      <c r="H3" s="17">
        <v>1.454</v>
      </c>
    </row>
    <row r="4" spans="1:8">
      <c r="A4" s="34">
        <v>2</v>
      </c>
      <c r="B4" s="61">
        <v>225</v>
      </c>
      <c r="C4" s="17">
        <v>5</v>
      </c>
      <c r="D4" s="7" t="s">
        <v>27</v>
      </c>
      <c r="E4" s="58">
        <v>2</v>
      </c>
      <c r="F4" s="63">
        <v>188</v>
      </c>
      <c r="G4" s="17">
        <v>5</v>
      </c>
      <c r="H4" s="33" t="s">
        <v>27</v>
      </c>
    </row>
    <row r="5" spans="1:8">
      <c r="A5" s="34">
        <v>3</v>
      </c>
      <c r="B5" s="61">
        <v>338</v>
      </c>
      <c r="C5" s="17">
        <v>5</v>
      </c>
      <c r="D5" s="77">
        <v>295.64999999999998</v>
      </c>
      <c r="E5" s="58">
        <v>3</v>
      </c>
      <c r="F5" s="63">
        <v>282</v>
      </c>
      <c r="G5" s="17">
        <v>5</v>
      </c>
      <c r="H5" s="80">
        <v>295.14999999999998</v>
      </c>
    </row>
    <row r="6" spans="1:8">
      <c r="A6" s="34">
        <v>4</v>
      </c>
      <c r="B6" s="61">
        <v>450</v>
      </c>
      <c r="C6" s="17">
        <v>5</v>
      </c>
      <c r="D6" s="7" t="s">
        <v>18</v>
      </c>
      <c r="E6" s="58">
        <v>4</v>
      </c>
      <c r="F6" s="63">
        <v>375</v>
      </c>
      <c r="G6" s="17">
        <v>5</v>
      </c>
      <c r="H6" s="52" t="s">
        <v>18</v>
      </c>
    </row>
    <row r="7" spans="1:8" ht="14.65" thickBot="1">
      <c r="A7" s="34">
        <v>5</v>
      </c>
      <c r="B7" s="61">
        <v>562</v>
      </c>
      <c r="C7" s="17">
        <v>5</v>
      </c>
      <c r="D7" s="6">
        <v>0.5</v>
      </c>
      <c r="E7" s="58">
        <v>5</v>
      </c>
      <c r="F7" s="63">
        <v>469</v>
      </c>
      <c r="G7" s="17">
        <v>5</v>
      </c>
      <c r="H7" s="17">
        <v>0.5</v>
      </c>
    </row>
    <row r="8" spans="1:8" ht="14.65" thickBot="1">
      <c r="A8" s="50">
        <v>6</v>
      </c>
      <c r="B8" s="53">
        <v>676</v>
      </c>
      <c r="C8" s="11">
        <v>5</v>
      </c>
      <c r="D8" s="7" t="s">
        <v>28</v>
      </c>
      <c r="E8" s="59">
        <v>6</v>
      </c>
      <c r="F8" s="64">
        <v>560</v>
      </c>
      <c r="G8" s="11">
        <v>5</v>
      </c>
      <c r="H8" s="33" t="s">
        <v>28</v>
      </c>
    </row>
    <row r="9" spans="1:8" ht="14.65" thickBot="1">
      <c r="D9" s="78">
        <v>3.9947999999999997E-2</v>
      </c>
      <c r="H9" s="7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 ht="14.65" thickBot="1">
      <c r="D12" s="60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tabSelected="1" workbookViewId="0">
      <selection activeCell="F16" sqref="F16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51">
        <v>0.05</v>
      </c>
      <c r="C2" s="57">
        <v>6.4000000000000005E-4</v>
      </c>
      <c r="D2" s="54"/>
    </row>
    <row r="3" spans="1:4">
      <c r="A3" s="14">
        <v>232</v>
      </c>
      <c r="B3">
        <v>7.0000000000000007E-2</v>
      </c>
      <c r="C3" s="55">
        <v>5.2999999999999998E-4</v>
      </c>
      <c r="D3" s="54"/>
    </row>
    <row r="4" spans="1:4">
      <c r="A4" s="14">
        <v>242</v>
      </c>
      <c r="B4" s="29">
        <v>0.09</v>
      </c>
      <c r="C4" s="55">
        <v>4.0000000000000002E-4</v>
      </c>
      <c r="D4" s="54"/>
    </row>
    <row r="5" spans="1:4">
      <c r="A5" s="14">
        <v>252</v>
      </c>
      <c r="B5" s="29">
        <v>0.16400000000000001</v>
      </c>
      <c r="C5" s="55">
        <v>4.2999999999999999E-4</v>
      </c>
      <c r="D5" s="54"/>
    </row>
    <row r="6" spans="1:4">
      <c r="A6" s="14">
        <v>262</v>
      </c>
      <c r="B6" s="29">
        <v>0.20599999999999999</v>
      </c>
      <c r="C6" s="55">
        <v>5.5000000000000003E-4</v>
      </c>
      <c r="D6" s="54"/>
    </row>
    <row r="7" spans="1:4">
      <c r="A7" s="14">
        <v>272</v>
      </c>
      <c r="B7" s="29">
        <v>0.27</v>
      </c>
      <c r="C7" s="55">
        <v>5.8E-4</v>
      </c>
      <c r="D7" s="54"/>
    </row>
    <row r="8" spans="1:4">
      <c r="A8" s="34">
        <v>282</v>
      </c>
      <c r="B8" s="29">
        <v>0.32200000000000001</v>
      </c>
      <c r="C8" s="55">
        <v>6.8999999999999997E-4</v>
      </c>
      <c r="D8" s="54"/>
    </row>
    <row r="9" spans="1:4">
      <c r="A9" s="14">
        <v>292</v>
      </c>
      <c r="B9" s="29">
        <v>0.27800000000000002</v>
      </c>
      <c r="C9" s="55">
        <v>9.5E-4</v>
      </c>
      <c r="D9" s="54"/>
    </row>
    <row r="10" spans="1:4">
      <c r="A10" s="14">
        <v>302</v>
      </c>
      <c r="B10" s="29">
        <v>0.21</v>
      </c>
      <c r="C10" s="55">
        <v>1.4400000000000001E-3</v>
      </c>
      <c r="D10" s="54"/>
    </row>
    <row r="11" spans="1:4">
      <c r="A11" s="14">
        <v>312</v>
      </c>
      <c r="B11" s="29">
        <v>0.16600000000000001</v>
      </c>
      <c r="C11" s="55">
        <v>1.7099999999999999E-3</v>
      </c>
      <c r="D11" s="54"/>
    </row>
    <row r="12" spans="1:4">
      <c r="A12" s="14">
        <v>322</v>
      </c>
      <c r="B12" s="29">
        <v>0.13800000000000001</v>
      </c>
      <c r="C12" s="55">
        <v>1.7899999999999999E-3</v>
      </c>
      <c r="D12" s="54"/>
    </row>
    <row r="13" spans="1:4">
      <c r="A13" s="14">
        <v>332</v>
      </c>
      <c r="B13" s="29">
        <v>0.11600000000000001</v>
      </c>
      <c r="C13" s="55">
        <v>1.8E-3</v>
      </c>
      <c r="D13" s="54"/>
    </row>
    <row r="14" spans="1:4" ht="14.65" thickBot="1">
      <c r="A14" s="23">
        <v>342</v>
      </c>
      <c r="B14" s="18">
        <v>0.10199999999999999</v>
      </c>
      <c r="C14" s="56">
        <v>1.81E-3</v>
      </c>
      <c r="D14" s="5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2026-05-21T06:30:45Z</dcterms:modified>
  <cp:category/>
  <cp:contentStatus/>
</cp:coreProperties>
</file>