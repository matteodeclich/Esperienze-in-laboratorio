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unimibit-my.sharepoint.com/personal/m_declich_campus_unimib_it/Documents/Documenti/Università/I° anno/Laboratorio I/Esperienze in laboratorio/"/>
    </mc:Choice>
  </mc:AlternateContent>
  <xr:revisionPtr revIDLastSave="1000" documentId="8_{34F8618C-3BC8-4D1E-A580-8499E5AA5FF8}" xr6:coauthVersionLast="47" xr6:coauthVersionMax="47" xr10:uidLastSave="{B0B4BEF4-C4FA-4B4E-98B3-7FDE8DA2BF8D}"/>
  <bookViews>
    <workbookView xWindow="-98" yWindow="-98" windowWidth="21795" windowHeight="12975" firstSheet="6" activeTab="9" xr2:uid="{84DCF574-2E35-45F1-915E-7E47BD9768D8}"/>
  </bookViews>
  <sheets>
    <sheet name="Aria (tubo aperto)" sheetId="1" r:id="rId1"/>
    <sheet name="Ventri e nodi" sheetId="6" r:id="rId2"/>
    <sheet name="Aria (tubo chiuso)" sheetId="2" r:id="rId3"/>
    <sheet name="Argon e Kripton" sheetId="3" r:id="rId4"/>
    <sheet name="Onde quadre-riflessione" sheetId="4" r:id="rId5"/>
    <sheet name="Ampiezza e fase" sheetId="5" r:id="rId6"/>
    <sheet name="Aria 2 (tubo chiuso)" sheetId="7" r:id="rId7"/>
    <sheet name="Argon e kripton 2" sheetId="8" r:id="rId8"/>
    <sheet name="Onde quadre (Argon e Kripton)" sheetId="9" r:id="rId9"/>
    <sheet name="Ampiezza e fase 2" sheetId="10" r:id="rId1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4" l="1"/>
  <c r="E3" i="9"/>
  <c r="E4" i="9"/>
  <c r="E5" i="9"/>
  <c r="E6" i="9"/>
  <c r="E7" i="9"/>
  <c r="E8" i="9"/>
  <c r="E9" i="9"/>
  <c r="J9" i="9"/>
  <c r="J8" i="9"/>
  <c r="J7" i="9"/>
  <c r="J6" i="9"/>
  <c r="J5" i="9"/>
  <c r="J4" i="9"/>
  <c r="J3" i="9"/>
  <c r="E3" i="4"/>
  <c r="E4" i="4"/>
  <c r="E5" i="4"/>
  <c r="E6" i="4"/>
  <c r="E7" i="4"/>
  <c r="E8" i="4"/>
  <c r="E2" i="6"/>
  <c r="F5" i="6"/>
  <c r="F4" i="6"/>
  <c r="F3" i="6"/>
  <c r="F2" i="6"/>
  <c r="F6" i="6" s="1"/>
  <c r="F7" i="6" s="1"/>
</calcChain>
</file>

<file path=xl/sharedStrings.xml><?xml version="1.0" encoding="utf-8"?>
<sst xmlns="http://schemas.openxmlformats.org/spreadsheetml/2006/main" count="115" uniqueCount="39">
  <si>
    <t>n</t>
  </si>
  <si>
    <t>Frequenza (hz)</t>
  </si>
  <si>
    <t>Incertezza (hz)</t>
  </si>
  <si>
    <t>D diametro del tubo aperto</t>
  </si>
  <si>
    <t>n=4</t>
  </si>
  <si>
    <t>Ventri</t>
  </si>
  <si>
    <t>Nodi</t>
  </si>
  <si>
    <t>λ_n teorica</t>
  </si>
  <si>
    <t>80 cm</t>
  </si>
  <si>
    <t>55 cm</t>
  </si>
  <si>
    <t>65 cm</t>
  </si>
  <si>
    <t>Delta T_1</t>
  </si>
  <si>
    <t>Delta T_2</t>
  </si>
  <si>
    <t>Incertezza (m)</t>
  </si>
  <si>
    <t>Lunghezza tubo (m)</t>
  </si>
  <si>
    <t>Temperatura stanza (k)</t>
  </si>
  <si>
    <t>γ</t>
  </si>
  <si>
    <t>R gas ideale</t>
  </si>
  <si>
    <t>Incertezza temperatura (k)</t>
  </si>
  <si>
    <t>λ_n/2 osservata</t>
  </si>
  <si>
    <t>Media</t>
  </si>
  <si>
    <t>λ_n sperimentale</t>
  </si>
  <si>
    <t>V suono (m/s)</t>
  </si>
  <si>
    <t>Distanza (m)</t>
  </si>
  <si>
    <t>Argon</t>
  </si>
  <si>
    <t>Kripton</t>
  </si>
  <si>
    <t>L (m)</t>
  </si>
  <si>
    <t>T (K)</t>
  </si>
  <si>
    <t>Massa molare (kg/mol)</t>
  </si>
  <si>
    <t>Massa molare aria (kg/mol)</t>
  </si>
  <si>
    <t>Incertezza (kg/mol)</t>
  </si>
  <si>
    <t>x (m)</t>
  </si>
  <si>
    <t>Δt medio (s)</t>
  </si>
  <si>
    <t>Δt micro (s)</t>
  </si>
  <si>
    <t>Ampiezza  (V)</t>
  </si>
  <si>
    <t>sx (m)</t>
  </si>
  <si>
    <t>Δt (s)</t>
  </si>
  <si>
    <t>D (m)</t>
  </si>
  <si>
    <t>Incertezza su D (m)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</si>
</sst>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#,##0.000000000"/>
    <numFmt numFmtId="166" formatCode="#,##0.00000"/>
    <numFmt numFmtId="167" formatCode="0.000"/>
  </numFmts>
  <fonts count="3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0"/>
      <color theme="1"/>
      <name val="Arial Unicode MS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5">
    <xf numFmtId="0" fontId="0" fillId="0" borderId="0" xfId="0"/>
    <xf numFmtId="0" fontId="0" fillId="2" borderId="0" xfId="0" applyFill="1"/>
    <xf numFmtId="0" fontId="0" fillId="3" borderId="0" xfId="0" applyFill="1"/>
    <xf numFmtId="164" fontId="0" fillId="0" borderId="0" xfId="0" applyNumberFormat="1"/>
    <xf numFmtId="0" fontId="0" fillId="4" borderId="0" xfId="0" applyFill="1"/>
    <xf numFmtId="0" fontId="0" fillId="2" borderId="1" xfId="0" applyFill="1" applyBorder="1"/>
    <xf numFmtId="0" fontId="0" fillId="0" borderId="2" xfId="0" applyBorder="1"/>
    <xf numFmtId="0" fontId="0" fillId="2" borderId="2" xfId="0" applyFill="1" applyBorder="1"/>
    <xf numFmtId="0" fontId="0" fillId="0" borderId="3" xfId="0" applyBorder="1"/>
    <xf numFmtId="0" fontId="0" fillId="2" borderId="4" xfId="0" applyFill="1" applyBorder="1"/>
    <xf numFmtId="0" fontId="0" fillId="2" borderId="6" xfId="0" applyFill="1" applyBorder="1"/>
    <xf numFmtId="0" fontId="0" fillId="0" borderId="7" xfId="0" applyBorder="1"/>
    <xf numFmtId="0" fontId="0" fillId="3" borderId="4" xfId="0" applyFill="1" applyBorder="1"/>
    <xf numFmtId="0" fontId="0" fillId="3" borderId="5" xfId="0" applyFill="1" applyBorder="1"/>
    <xf numFmtId="0" fontId="0" fillId="0" borderId="8" xfId="0" applyBorder="1"/>
    <xf numFmtId="0" fontId="0" fillId="0" borderId="4" xfId="0" applyBorder="1"/>
    <xf numFmtId="0" fontId="0" fillId="3" borderId="10" xfId="0" applyFill="1" applyBorder="1"/>
    <xf numFmtId="0" fontId="0" fillId="0" borderId="9" xfId="0" applyBorder="1"/>
    <xf numFmtId="167" fontId="0" fillId="0" borderId="11" xfId="0" applyNumberFormat="1" applyBorder="1"/>
    <xf numFmtId="167" fontId="0" fillId="0" borderId="10" xfId="0" applyNumberFormat="1" applyBorder="1"/>
    <xf numFmtId="0" fontId="0" fillId="0" borderId="5" xfId="0" applyBorder="1"/>
    <xf numFmtId="166" fontId="2" fillId="0" borderId="8" xfId="0" applyNumberFormat="1" applyFont="1" applyBorder="1" applyAlignment="1">
      <alignment vertical="center"/>
    </xf>
    <xf numFmtId="0" fontId="0" fillId="2" borderId="8" xfId="0" applyFill="1" applyBorder="1"/>
    <xf numFmtId="0" fontId="0" fillId="0" borderId="6" xfId="0" applyBorder="1"/>
    <xf numFmtId="12" fontId="0" fillId="0" borderId="8" xfId="0" applyNumberFormat="1" applyBorder="1"/>
    <xf numFmtId="12" fontId="0" fillId="0" borderId="6" xfId="0" applyNumberFormat="1" applyBorder="1"/>
    <xf numFmtId="167" fontId="0" fillId="0" borderId="9" xfId="0" applyNumberFormat="1" applyBorder="1"/>
    <xf numFmtId="167" fontId="0" fillId="0" borderId="5" xfId="0" applyNumberFormat="1" applyBorder="1"/>
    <xf numFmtId="167" fontId="0" fillId="0" borderId="7" xfId="0" applyNumberFormat="1" applyBorder="1"/>
    <xf numFmtId="167" fontId="0" fillId="0" borderId="0" xfId="0" applyNumberFormat="1"/>
    <xf numFmtId="12" fontId="0" fillId="0" borderId="4" xfId="0" applyNumberFormat="1" applyBorder="1"/>
    <xf numFmtId="12" fontId="0" fillId="0" borderId="3" xfId="0" applyNumberFormat="1" applyBorder="1"/>
    <xf numFmtId="0" fontId="0" fillId="2" borderId="10" xfId="0" applyFill="1" applyBorder="1"/>
    <xf numFmtId="0" fontId="0" fillId="2" borderId="5" xfId="0" applyFill="1" applyBorder="1"/>
    <xf numFmtId="0" fontId="0" fillId="3" borderId="8" xfId="0" applyFill="1" applyBorder="1"/>
    <xf numFmtId="0" fontId="0" fillId="0" borderId="11" xfId="0" applyBorder="1"/>
    <xf numFmtId="0" fontId="0" fillId="2" borderId="13" xfId="0" applyFill="1" applyBorder="1"/>
    <xf numFmtId="0" fontId="0" fillId="2" borderId="14" xfId="0" applyFill="1" applyBorder="1"/>
    <xf numFmtId="0" fontId="0" fillId="2" borderId="15" xfId="0" applyFill="1" applyBorder="1"/>
    <xf numFmtId="0" fontId="0" fillId="2" borderId="12" xfId="0" applyFill="1" applyBorder="1"/>
    <xf numFmtId="0" fontId="0" fillId="3" borderId="2" xfId="0" applyFill="1" applyBorder="1"/>
    <xf numFmtId="0" fontId="0" fillId="3" borderId="3" xfId="0" applyFill="1" applyBorder="1"/>
    <xf numFmtId="0" fontId="1" fillId="2" borderId="2" xfId="0" applyFont="1" applyFill="1" applyBorder="1"/>
    <xf numFmtId="165" fontId="1" fillId="0" borderId="3" xfId="0" applyNumberFormat="1" applyFont="1" applyBorder="1"/>
    <xf numFmtId="0" fontId="0" fillId="3" borderId="13" xfId="0" applyFill="1" applyBorder="1"/>
    <xf numFmtId="0" fontId="0" fillId="3" borderId="15" xfId="0" applyFill="1" applyBorder="1"/>
    <xf numFmtId="11" fontId="0" fillId="0" borderId="9" xfId="0" applyNumberFormat="1" applyBorder="1"/>
    <xf numFmtId="11" fontId="0" fillId="0" borderId="7" xfId="0" applyNumberFormat="1" applyBorder="1"/>
    <xf numFmtId="0" fontId="0" fillId="3" borderId="4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3" borderId="10" xfId="0" applyFill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5" borderId="13" xfId="0" applyFill="1" applyBorder="1" applyAlignment="1">
      <alignment horizontal="center"/>
    </xf>
    <xf numFmtId="0" fontId="0" fillId="5" borderId="14" xfId="0" applyFill="1" applyBorder="1" applyAlignment="1">
      <alignment horizontal="center"/>
    </xf>
    <xf numFmtId="0" fontId="0" fillId="5" borderId="15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3" borderId="15" xfId="0" applyFill="1" applyBorder="1" applyAlignment="1">
      <alignment horizontal="center"/>
    </xf>
    <xf numFmtId="0" fontId="0" fillId="3" borderId="0" xfId="0" applyFill="1" applyBorder="1"/>
    <xf numFmtId="0" fontId="0" fillId="3" borderId="9" xfId="0" applyFill="1" applyBorder="1"/>
    <xf numFmtId="0" fontId="0" fillId="0" borderId="0" xfId="0" applyBorder="1"/>
    <xf numFmtId="0" fontId="0" fillId="2" borderId="4" xfId="0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2" borderId="5" xfId="0" applyFill="1" applyBorder="1" applyAlignment="1">
      <alignment horizontal="center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22C44-05D5-4272-A0FE-86D34BE429B9}">
  <dimension ref="A1:E12"/>
  <sheetViews>
    <sheetView workbookViewId="0">
      <selection activeCell="D30" sqref="D30"/>
    </sheetView>
  </sheetViews>
  <sheetFormatPr defaultRowHeight="14.25"/>
  <cols>
    <col min="1" max="1" width="22.3984375" customWidth="1"/>
    <col min="2" max="2" width="21.59765625" customWidth="1"/>
    <col min="3" max="5" width="22" customWidth="1"/>
    <col min="6" max="6" width="16.265625" customWidth="1"/>
  </cols>
  <sheetData>
    <row r="1" spans="1:5" ht="14.65" thickBot="1">
      <c r="A1" s="1" t="s">
        <v>0</v>
      </c>
      <c r="B1" s="1" t="s">
        <v>1</v>
      </c>
      <c r="C1" s="1" t="s">
        <v>2</v>
      </c>
      <c r="D1" s="9" t="s">
        <v>3</v>
      </c>
      <c r="E1" s="5" t="s">
        <v>15</v>
      </c>
    </row>
    <row r="2" spans="1:5">
      <c r="A2" s="2">
        <v>1</v>
      </c>
      <c r="B2" s="15">
        <v>190.1</v>
      </c>
      <c r="C2" s="20">
        <v>3.5</v>
      </c>
      <c r="D2" s="14">
        <v>3.5000000000000003E-2</v>
      </c>
      <c r="E2" s="6">
        <v>296.14999999999998</v>
      </c>
    </row>
    <row r="3" spans="1:5">
      <c r="A3" s="2">
        <v>2</v>
      </c>
      <c r="B3" s="14">
        <v>381</v>
      </c>
      <c r="C3" s="17">
        <v>3.5</v>
      </c>
      <c r="D3" s="22" t="s">
        <v>13</v>
      </c>
      <c r="E3" s="7" t="s">
        <v>18</v>
      </c>
    </row>
    <row r="4" spans="1:5">
      <c r="A4" s="2">
        <v>3</v>
      </c>
      <c r="B4" s="14">
        <v>561</v>
      </c>
      <c r="C4" s="17">
        <v>4</v>
      </c>
      <c r="D4" s="14">
        <v>5.0000000000000001E-3</v>
      </c>
      <c r="E4" s="6">
        <v>0.5</v>
      </c>
    </row>
    <row r="5" spans="1:5">
      <c r="A5" s="2">
        <v>4</v>
      </c>
      <c r="B5" s="14">
        <v>760.2</v>
      </c>
      <c r="C5" s="17">
        <v>4</v>
      </c>
      <c r="D5" s="22" t="s">
        <v>14</v>
      </c>
      <c r="E5" s="7" t="s">
        <v>29</v>
      </c>
    </row>
    <row r="6" spans="1:5" ht="14.65" thickBot="1">
      <c r="A6" s="2">
        <v>5</v>
      </c>
      <c r="B6" s="23">
        <v>935.6</v>
      </c>
      <c r="C6" s="11">
        <v>4</v>
      </c>
      <c r="D6" s="14">
        <v>0.9</v>
      </c>
      <c r="E6" s="6">
        <v>2.8964699999999999E-2</v>
      </c>
    </row>
    <row r="7" spans="1:5">
      <c r="D7" s="22" t="s">
        <v>13</v>
      </c>
      <c r="E7" s="7" t="s">
        <v>30</v>
      </c>
    </row>
    <row r="8" spans="1:5" ht="14.65" thickBot="1">
      <c r="D8" s="23">
        <v>0.01</v>
      </c>
      <c r="E8" s="6">
        <v>5.0000000000000001E-4</v>
      </c>
    </row>
    <row r="9" spans="1:5">
      <c r="E9" s="7" t="s">
        <v>16</v>
      </c>
    </row>
    <row r="10" spans="1:5">
      <c r="E10" s="6">
        <v>1.4</v>
      </c>
    </row>
    <row r="11" spans="1:5">
      <c r="E11" s="42" t="s">
        <v>17</v>
      </c>
    </row>
    <row r="12" spans="1:5" ht="14.65" thickBot="1">
      <c r="E12" s="43">
        <v>8.3144626180000003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0617E3-9B4E-4B1F-B0F5-FBC89FE8E318}">
  <dimension ref="A1:G11"/>
  <sheetViews>
    <sheetView workbookViewId="0">
      <selection activeCell="F2" sqref="F2"/>
    </sheetView>
  </sheetViews>
  <sheetFormatPr defaultRowHeight="14.25"/>
  <cols>
    <col min="1" max="1" width="16.19921875" bestFit="1" customWidth="1"/>
    <col min="2" max="2" width="8.6640625" bestFit="1" customWidth="1"/>
    <col min="3" max="3" width="10.59765625" bestFit="1" customWidth="1"/>
    <col min="4" max="4" width="11.796875" bestFit="1" customWidth="1"/>
    <col min="5" max="5" width="14" bestFit="1" customWidth="1"/>
    <col min="6" max="6" width="12.86328125" bestFit="1" customWidth="1"/>
    <col min="7" max="7" width="12.19921875" bestFit="1" customWidth="1"/>
    <col min="8" max="8" width="10" bestFit="1" customWidth="1"/>
    <col min="9" max="9" width="17.265625" bestFit="1" customWidth="1"/>
  </cols>
  <sheetData>
    <row r="1" spans="1:7" ht="14.65" thickBot="1">
      <c r="A1" s="4" t="s">
        <v>4</v>
      </c>
      <c r="B1" s="12" t="s">
        <v>0</v>
      </c>
      <c r="C1" s="16" t="s">
        <v>23</v>
      </c>
      <c r="D1" s="13" t="s">
        <v>13</v>
      </c>
      <c r="E1" s="44" t="s">
        <v>7</v>
      </c>
      <c r="F1" s="45" t="s">
        <v>19</v>
      </c>
      <c r="G1" s="9" t="s">
        <v>22</v>
      </c>
    </row>
    <row r="2" spans="1:7">
      <c r="A2" s="48" t="s">
        <v>5</v>
      </c>
      <c r="B2" s="30">
        <v>1.5</v>
      </c>
      <c r="C2" s="19">
        <v>0.34499999999999997</v>
      </c>
      <c r="D2" s="20">
        <v>0.05</v>
      </c>
      <c r="E2">
        <f>G2/G4</f>
        <v>0.45381056300973421</v>
      </c>
      <c r="F2" s="26">
        <f>C4-C3</f>
        <v>0.22799999999999998</v>
      </c>
      <c r="G2" s="21">
        <v>344.98678999999998</v>
      </c>
    </row>
    <row r="3" spans="1:7">
      <c r="A3" s="49"/>
      <c r="B3" s="24">
        <v>2.5</v>
      </c>
      <c r="C3" s="29">
        <v>0.56000000000000005</v>
      </c>
      <c r="D3" s="17">
        <v>0.05</v>
      </c>
      <c r="F3" s="26">
        <f>C7-C6</f>
        <v>0.22500000000000003</v>
      </c>
      <c r="G3" s="22" t="s">
        <v>1</v>
      </c>
    </row>
    <row r="4" spans="1:7" ht="14.65" thickBot="1">
      <c r="A4" s="50"/>
      <c r="B4" s="25">
        <v>3.5</v>
      </c>
      <c r="C4" s="18">
        <v>0.78800000000000003</v>
      </c>
      <c r="D4" s="11">
        <v>0.05</v>
      </c>
      <c r="F4" s="26">
        <f>C6-C5</f>
        <v>0.22</v>
      </c>
      <c r="G4" s="23">
        <v>760.2</v>
      </c>
    </row>
    <row r="5" spans="1:7" ht="14.65" thickBot="1">
      <c r="A5" s="48" t="s">
        <v>6</v>
      </c>
      <c r="B5" s="24">
        <v>1</v>
      </c>
      <c r="C5" s="29">
        <v>0.23</v>
      </c>
      <c r="D5" s="17">
        <v>0.05</v>
      </c>
      <c r="E5" s="14"/>
      <c r="F5" s="26">
        <f>C3-C2</f>
        <v>0.21500000000000008</v>
      </c>
    </row>
    <row r="6" spans="1:7">
      <c r="A6" s="49"/>
      <c r="B6" s="24">
        <v>2</v>
      </c>
      <c r="C6" s="29">
        <v>0.45</v>
      </c>
      <c r="D6" s="17">
        <v>0.05</v>
      </c>
      <c r="E6" s="9" t="s">
        <v>20</v>
      </c>
      <c r="F6" s="27">
        <f>AVERAGE(F2:F5)</f>
        <v>0.22200000000000003</v>
      </c>
    </row>
    <row r="7" spans="1:7" ht="14.65" thickBot="1">
      <c r="A7" s="50"/>
      <c r="B7" s="25">
        <v>3</v>
      </c>
      <c r="C7" s="18">
        <v>0.67500000000000004</v>
      </c>
      <c r="D7" s="11">
        <v>0.05</v>
      </c>
      <c r="E7" s="10" t="s">
        <v>21</v>
      </c>
      <c r="F7" s="28">
        <f>2*F6</f>
        <v>0.44400000000000006</v>
      </c>
    </row>
    <row r="11" spans="1:7">
      <c r="C11" s="3"/>
    </row>
  </sheetData>
  <mergeCells count="2">
    <mergeCell ref="A2:A4"/>
    <mergeCell ref="A5:A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8339D-D738-4E2D-B0E2-FC9074DD0D10}">
  <dimension ref="A1:H7"/>
  <sheetViews>
    <sheetView workbookViewId="0">
      <selection activeCell="G26" sqref="G26"/>
    </sheetView>
  </sheetViews>
  <sheetFormatPr defaultRowHeight="14.25"/>
  <cols>
    <col min="2" max="2" width="13" customWidth="1"/>
    <col min="3" max="3" width="13.59765625" customWidth="1"/>
    <col min="4" max="4" width="12.19921875" bestFit="1" customWidth="1"/>
    <col min="5" max="5" width="15.86328125" customWidth="1"/>
    <col min="6" max="6" width="13.59765625" customWidth="1"/>
    <col min="7" max="7" width="12" customWidth="1"/>
    <col min="8" max="8" width="13" customWidth="1"/>
  </cols>
  <sheetData>
    <row r="1" spans="1:8" ht="14.65" thickBot="1">
      <c r="A1" s="15"/>
      <c r="B1" s="51" t="s">
        <v>8</v>
      </c>
      <c r="C1" s="52"/>
      <c r="D1" s="53" t="s">
        <v>10</v>
      </c>
      <c r="E1" s="52"/>
      <c r="F1" s="15"/>
      <c r="G1" s="53" t="s">
        <v>9</v>
      </c>
      <c r="H1" s="52"/>
    </row>
    <row r="2" spans="1:8" ht="14.65" thickBot="1">
      <c r="A2" s="39" t="s">
        <v>0</v>
      </c>
      <c r="B2" s="37" t="s">
        <v>1</v>
      </c>
      <c r="C2" s="38" t="s">
        <v>2</v>
      </c>
      <c r="D2" s="36" t="s">
        <v>1</v>
      </c>
      <c r="E2" s="38" t="s">
        <v>2</v>
      </c>
      <c r="F2" s="36" t="s">
        <v>0</v>
      </c>
      <c r="G2" s="36" t="s">
        <v>1</v>
      </c>
      <c r="H2" s="38" t="s">
        <v>2</v>
      </c>
    </row>
    <row r="3" spans="1:8">
      <c r="A3" s="40">
        <v>3</v>
      </c>
      <c r="B3">
        <v>319.2</v>
      </c>
      <c r="C3" s="17">
        <v>5</v>
      </c>
      <c r="D3" s="14">
        <v>377</v>
      </c>
      <c r="E3" s="17">
        <v>5</v>
      </c>
      <c r="F3" s="40">
        <v>5</v>
      </c>
      <c r="G3">
        <v>760</v>
      </c>
      <c r="H3" s="17">
        <v>5</v>
      </c>
    </row>
    <row r="4" spans="1:8">
      <c r="A4" s="40">
        <v>5</v>
      </c>
      <c r="B4">
        <v>534.29999999999995</v>
      </c>
      <c r="C4" s="17">
        <v>5</v>
      </c>
      <c r="D4" s="14">
        <v>632</v>
      </c>
      <c r="E4" s="17">
        <v>5</v>
      </c>
      <c r="F4" s="40">
        <v>7</v>
      </c>
      <c r="G4">
        <v>1068</v>
      </c>
      <c r="H4" s="17">
        <v>5</v>
      </c>
    </row>
    <row r="5" spans="1:8">
      <c r="A5" s="40">
        <v>7</v>
      </c>
      <c r="B5">
        <v>741.2</v>
      </c>
      <c r="C5" s="17">
        <v>6</v>
      </c>
      <c r="D5" s="14">
        <v>884</v>
      </c>
      <c r="E5" s="17">
        <v>6</v>
      </c>
      <c r="F5" s="40">
        <v>11</v>
      </c>
      <c r="G5">
        <v>1688</v>
      </c>
      <c r="H5" s="17">
        <v>6</v>
      </c>
    </row>
    <row r="6" spans="1:8">
      <c r="A6" s="40">
        <v>9</v>
      </c>
      <c r="B6">
        <v>954.1</v>
      </c>
      <c r="C6" s="17">
        <v>6</v>
      </c>
      <c r="D6" s="14">
        <v>1146</v>
      </c>
      <c r="E6" s="17">
        <v>6</v>
      </c>
      <c r="F6" s="40">
        <v>13</v>
      </c>
      <c r="G6">
        <v>1990</v>
      </c>
      <c r="H6" s="17">
        <v>6</v>
      </c>
    </row>
    <row r="7" spans="1:8" ht="14.65" thickBot="1">
      <c r="A7" s="41">
        <v>11</v>
      </c>
      <c r="B7" s="35">
        <v>1155.0999999999999</v>
      </c>
      <c r="C7" s="11">
        <v>6</v>
      </c>
      <c r="D7" s="23">
        <v>1404.5</v>
      </c>
      <c r="E7" s="11">
        <v>6</v>
      </c>
      <c r="F7" s="41">
        <v>15</v>
      </c>
      <c r="G7" s="35">
        <v>2290</v>
      </c>
      <c r="H7" s="11">
        <v>6</v>
      </c>
    </row>
  </sheetData>
  <mergeCells count="3">
    <mergeCell ref="B1:C1"/>
    <mergeCell ref="D1:E1"/>
    <mergeCell ref="G1:H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E4CEC-525A-4BCF-91E4-363DE62CA86F}">
  <dimension ref="A1:H13"/>
  <sheetViews>
    <sheetView workbookViewId="0">
      <selection activeCell="H23" sqref="H23"/>
    </sheetView>
  </sheetViews>
  <sheetFormatPr defaultRowHeight="14.25"/>
  <cols>
    <col min="2" max="2" width="13" customWidth="1"/>
    <col min="3" max="3" width="14.86328125" customWidth="1"/>
    <col min="4" max="4" width="21.33203125" bestFit="1" customWidth="1"/>
    <col min="6" max="6" width="12.19921875" bestFit="1" customWidth="1"/>
    <col min="7" max="7" width="14.3984375" customWidth="1"/>
    <col min="8" max="8" width="21.33203125" bestFit="1" customWidth="1"/>
    <col min="9" max="9" width="18.53125" bestFit="1" customWidth="1"/>
  </cols>
  <sheetData>
    <row r="1" spans="1:8" ht="14.65" thickBot="1">
      <c r="A1" s="54" t="s">
        <v>24</v>
      </c>
      <c r="B1" s="55"/>
      <c r="C1" s="55"/>
      <c r="D1" s="56"/>
      <c r="E1" s="54" t="s">
        <v>25</v>
      </c>
      <c r="F1" s="55"/>
      <c r="G1" s="55"/>
      <c r="H1" s="56"/>
    </row>
    <row r="2" spans="1:8">
      <c r="A2" s="9" t="s">
        <v>0</v>
      </c>
      <c r="B2" s="32" t="s">
        <v>1</v>
      </c>
      <c r="C2" s="32" t="s">
        <v>2</v>
      </c>
      <c r="D2" s="5" t="s">
        <v>26</v>
      </c>
      <c r="E2" s="9" t="s">
        <v>0</v>
      </c>
      <c r="F2" s="32" t="s">
        <v>1</v>
      </c>
      <c r="G2" s="32" t="s">
        <v>2</v>
      </c>
      <c r="H2" s="5" t="s">
        <v>26</v>
      </c>
    </row>
    <row r="3" spans="1:8" ht="14.65" thickBot="1">
      <c r="A3" s="34">
        <v>4</v>
      </c>
      <c r="B3">
        <v>440.2</v>
      </c>
      <c r="C3">
        <v>4</v>
      </c>
      <c r="D3" s="6">
        <v>1.45</v>
      </c>
      <c r="E3" s="34">
        <v>3</v>
      </c>
      <c r="F3">
        <v>314.5</v>
      </c>
      <c r="G3">
        <v>4</v>
      </c>
      <c r="H3" s="6">
        <v>1.45</v>
      </c>
    </row>
    <row r="4" spans="1:8">
      <c r="A4" s="34">
        <v>5</v>
      </c>
      <c r="B4">
        <v>549.5</v>
      </c>
      <c r="C4">
        <v>4</v>
      </c>
      <c r="D4" s="5" t="s">
        <v>27</v>
      </c>
      <c r="E4" s="34">
        <v>4</v>
      </c>
      <c r="F4">
        <v>400</v>
      </c>
      <c r="G4">
        <v>4</v>
      </c>
      <c r="H4" s="5" t="s">
        <v>27</v>
      </c>
    </row>
    <row r="5" spans="1:8">
      <c r="A5" s="34">
        <v>6</v>
      </c>
      <c r="B5">
        <v>659.5</v>
      </c>
      <c r="C5">
        <v>4</v>
      </c>
      <c r="D5" s="6">
        <v>296.64999999999998</v>
      </c>
      <c r="E5" s="34">
        <v>5</v>
      </c>
      <c r="F5">
        <v>500</v>
      </c>
      <c r="G5">
        <v>4</v>
      </c>
      <c r="H5" s="6">
        <v>296.64999999999998</v>
      </c>
    </row>
    <row r="6" spans="1:8">
      <c r="A6" s="34">
        <v>7</v>
      </c>
      <c r="B6">
        <v>769.5</v>
      </c>
      <c r="C6">
        <v>4</v>
      </c>
      <c r="D6" s="7" t="s">
        <v>18</v>
      </c>
      <c r="E6" s="34">
        <v>6</v>
      </c>
      <c r="F6">
        <v>600</v>
      </c>
      <c r="G6">
        <v>4</v>
      </c>
      <c r="H6" s="7" t="s">
        <v>18</v>
      </c>
    </row>
    <row r="7" spans="1:8" ht="14.65" thickBot="1">
      <c r="A7" s="34">
        <v>8</v>
      </c>
      <c r="B7" s="35">
        <v>882</v>
      </c>
      <c r="C7" s="11">
        <v>4</v>
      </c>
      <c r="D7" s="6">
        <v>0.5</v>
      </c>
      <c r="E7" s="34">
        <v>7</v>
      </c>
      <c r="F7" s="35">
        <v>700</v>
      </c>
      <c r="G7" s="35">
        <v>4</v>
      </c>
      <c r="H7" s="6">
        <v>0.5</v>
      </c>
    </row>
    <row r="8" spans="1:8">
      <c r="D8" s="7" t="s">
        <v>28</v>
      </c>
      <c r="H8" s="5" t="s">
        <v>28</v>
      </c>
    </row>
    <row r="9" spans="1:8" ht="14.65" thickBot="1">
      <c r="D9" s="8">
        <v>3.9947999999999997E-2</v>
      </c>
      <c r="H9" s="8">
        <v>8.3797999999999997E-2</v>
      </c>
    </row>
    <row r="10" spans="1:8">
      <c r="D10" s="7" t="s">
        <v>30</v>
      </c>
      <c r="H10" s="7" t="s">
        <v>30</v>
      </c>
    </row>
    <row r="11" spans="1:8">
      <c r="D11" s="6">
        <v>5.0000000000000001E-4</v>
      </c>
      <c r="H11" s="6">
        <v>5.0000000000000001E-4</v>
      </c>
    </row>
    <row r="12" spans="1:8">
      <c r="D12" s="7" t="s">
        <v>16</v>
      </c>
      <c r="H12" s="7" t="s">
        <v>16</v>
      </c>
    </row>
    <row r="13" spans="1:8" ht="14.65" thickBot="1">
      <c r="D13" s="31">
        <v>1.6666666666666667</v>
      </c>
      <c r="H13" s="31">
        <v>1.6666666666666667</v>
      </c>
    </row>
  </sheetData>
  <mergeCells count="2">
    <mergeCell ref="A1:D1"/>
    <mergeCell ref="E1:H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685B9-F09A-4019-850A-B546C03596ED}">
  <dimension ref="A1:E8"/>
  <sheetViews>
    <sheetView workbookViewId="0">
      <selection activeCell="J30" sqref="J30"/>
    </sheetView>
  </sheetViews>
  <sheetFormatPr defaultRowHeight="14.25"/>
  <cols>
    <col min="4" max="4" width="10.06640625" bestFit="1" customWidth="1"/>
    <col min="5" max="7" width="13" bestFit="1" customWidth="1"/>
  </cols>
  <sheetData>
    <row r="1" spans="1:5">
      <c r="A1" s="12" t="s">
        <v>31</v>
      </c>
      <c r="B1" s="16" t="s">
        <v>35</v>
      </c>
      <c r="C1" s="16" t="s">
        <v>11</v>
      </c>
      <c r="D1" s="16" t="s">
        <v>12</v>
      </c>
      <c r="E1" s="13" t="s">
        <v>32</v>
      </c>
    </row>
    <row r="2" spans="1:5">
      <c r="A2" s="14">
        <v>1.57</v>
      </c>
      <c r="B2" s="61">
        <v>5.0000000000000001E-3</v>
      </c>
      <c r="C2" s="61">
        <v>4.4999999999999997E-3</v>
      </c>
      <c r="D2" s="61">
        <v>4.4999999999999997E-3</v>
      </c>
      <c r="E2" s="17">
        <f>AVERAGE(C2:D2)</f>
        <v>4.4999999999999997E-3</v>
      </c>
    </row>
    <row r="3" spans="1:5">
      <c r="A3" s="14">
        <v>1.37</v>
      </c>
      <c r="B3" s="61">
        <v>5.0000000000000001E-3</v>
      </c>
      <c r="C3" s="61">
        <v>3.9199999999999999E-3</v>
      </c>
      <c r="D3" s="61">
        <v>3.9199999999999999E-3</v>
      </c>
      <c r="E3" s="17">
        <f t="shared" ref="E3:E8" si="0">AVERAGE(C3:D3)</f>
        <v>3.9199999999999999E-3</v>
      </c>
    </row>
    <row r="4" spans="1:5">
      <c r="A4" s="14">
        <v>1.17</v>
      </c>
      <c r="B4" s="61">
        <v>5.0000000000000001E-3</v>
      </c>
      <c r="C4" s="61">
        <v>3.3600000000000001E-3</v>
      </c>
      <c r="D4" s="61">
        <v>3.3500000000000001E-3</v>
      </c>
      <c r="E4" s="17">
        <f t="shared" si="0"/>
        <v>3.3550000000000003E-3</v>
      </c>
    </row>
    <row r="5" spans="1:5">
      <c r="A5" s="14">
        <v>0.97</v>
      </c>
      <c r="B5" s="61">
        <v>5.0000000000000001E-3</v>
      </c>
      <c r="C5" s="61">
        <v>2.7899999999999999E-3</v>
      </c>
      <c r="D5" s="61">
        <v>2.7699999999999999E-3</v>
      </c>
      <c r="E5" s="17">
        <f t="shared" si="0"/>
        <v>2.7799999999999999E-3</v>
      </c>
    </row>
    <row r="6" spans="1:5">
      <c r="A6" s="14">
        <v>0.77</v>
      </c>
      <c r="B6" s="61">
        <v>5.0000000000000001E-3</v>
      </c>
      <c r="C6" s="61">
        <v>2.2000000000000001E-3</v>
      </c>
      <c r="D6" s="61">
        <v>2.2000000000000001E-3</v>
      </c>
      <c r="E6" s="17">
        <f t="shared" si="0"/>
        <v>2.2000000000000001E-3</v>
      </c>
    </row>
    <row r="7" spans="1:5">
      <c r="A7" s="14">
        <v>0.56999999999999995</v>
      </c>
      <c r="B7" s="61">
        <v>5.0000000000000001E-3</v>
      </c>
      <c r="C7" s="61">
        <v>1.6199999999999999E-3</v>
      </c>
      <c r="D7" s="61">
        <v>1.6199999999999999E-3</v>
      </c>
      <c r="E7" s="17">
        <f t="shared" si="0"/>
        <v>1.6199999999999999E-3</v>
      </c>
    </row>
    <row r="8" spans="1:5" ht="14.65" thickBot="1">
      <c r="A8" s="23">
        <v>0.37</v>
      </c>
      <c r="B8" s="35">
        <v>5.0000000000000001E-3</v>
      </c>
      <c r="C8" s="35">
        <v>1.0499999999999999E-3</v>
      </c>
      <c r="D8" s="35">
        <v>1.0399999999999999E-3</v>
      </c>
      <c r="E8" s="11">
        <f t="shared" si="0"/>
        <v>1.0449999999999999E-3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95F12-453C-425C-ABA4-7F1645AB6AC5}">
  <dimension ref="A1:C8"/>
  <sheetViews>
    <sheetView workbookViewId="0">
      <selection activeCell="A30" sqref="A30"/>
    </sheetView>
  </sheetViews>
  <sheetFormatPr defaultRowHeight="14.25"/>
  <cols>
    <col min="1" max="1" width="11" bestFit="1" customWidth="1"/>
    <col min="2" max="2" width="9.86328125" bestFit="1" customWidth="1"/>
    <col min="3" max="3" width="10.6640625" bestFit="1" customWidth="1"/>
    <col min="4" max="4" width="19" customWidth="1"/>
  </cols>
  <sheetData>
    <row r="1" spans="1:3">
      <c r="A1" s="9" t="s">
        <v>1</v>
      </c>
      <c r="B1" s="32" t="s">
        <v>34</v>
      </c>
      <c r="C1" s="33" t="s">
        <v>33</v>
      </c>
    </row>
    <row r="2" spans="1:3">
      <c r="A2" s="14">
        <v>490</v>
      </c>
      <c r="B2">
        <v>0.4</v>
      </c>
      <c r="C2" s="46">
        <v>-7.1000000000000002E-4</v>
      </c>
    </row>
    <row r="3" spans="1:3">
      <c r="A3" s="14">
        <v>500</v>
      </c>
      <c r="B3">
        <v>3.44</v>
      </c>
      <c r="C3" s="46">
        <v>-6.2E-4</v>
      </c>
    </row>
    <row r="4" spans="1:3">
      <c r="A4" s="14">
        <v>510</v>
      </c>
      <c r="B4">
        <v>3.22</v>
      </c>
      <c r="C4" s="46">
        <v>-4.6000000000000001E-4</v>
      </c>
    </row>
    <row r="5" spans="1:3">
      <c r="A5" s="14">
        <v>520</v>
      </c>
      <c r="B5">
        <v>4.4000000000000004</v>
      </c>
      <c r="C5" s="46">
        <v>-8.0000000000000007E-5</v>
      </c>
    </row>
    <row r="6" spans="1:3">
      <c r="A6" s="14">
        <v>534.29999999999995</v>
      </c>
      <c r="B6">
        <v>2.2200000000000002</v>
      </c>
      <c r="C6" s="46">
        <v>1.4999999999999999E-4</v>
      </c>
    </row>
    <row r="7" spans="1:3">
      <c r="A7" s="14">
        <v>540</v>
      </c>
      <c r="B7">
        <v>1.8</v>
      </c>
      <c r="C7" s="46">
        <v>1.4999999999999999E-4</v>
      </c>
    </row>
    <row r="8" spans="1:3" ht="14.65" thickBot="1">
      <c r="A8" s="23">
        <v>550</v>
      </c>
      <c r="B8" s="35">
        <v>1.42</v>
      </c>
      <c r="C8" s="47">
        <v>1.8000000000000001E-4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667721-4124-4197-8679-F244BEB69CE5}">
  <dimension ref="A1:H7"/>
  <sheetViews>
    <sheetView workbookViewId="0">
      <selection activeCell="J16" sqref="J16"/>
    </sheetView>
  </sheetViews>
  <sheetFormatPr defaultRowHeight="14.25"/>
  <cols>
    <col min="2" max="2" width="12.19921875" bestFit="1" customWidth="1"/>
    <col min="3" max="3" width="12.06640625" bestFit="1" customWidth="1"/>
    <col min="4" max="4" width="12.19921875" bestFit="1" customWidth="1"/>
    <col min="5" max="5" width="12.06640625" bestFit="1" customWidth="1"/>
    <col min="7" max="7" width="12.19921875" bestFit="1" customWidth="1"/>
    <col min="8" max="8" width="21.33203125" bestFit="1" customWidth="1"/>
  </cols>
  <sheetData>
    <row r="1" spans="1:8" ht="14.65" thickBot="1">
      <c r="A1" s="15"/>
      <c r="B1" s="51" t="s">
        <v>8</v>
      </c>
      <c r="C1" s="52"/>
      <c r="D1" s="53" t="s">
        <v>10</v>
      </c>
      <c r="E1" s="52"/>
      <c r="F1" s="57" t="s">
        <v>9</v>
      </c>
      <c r="G1" s="58"/>
      <c r="H1" s="5" t="s">
        <v>15</v>
      </c>
    </row>
    <row r="2" spans="1:8" ht="14.65" thickBot="1">
      <c r="A2" s="39" t="s">
        <v>0</v>
      </c>
      <c r="B2" s="37" t="s">
        <v>1</v>
      </c>
      <c r="C2" s="38" t="s">
        <v>2</v>
      </c>
      <c r="D2" s="36" t="s">
        <v>1</v>
      </c>
      <c r="E2" s="38" t="s">
        <v>2</v>
      </c>
      <c r="F2" s="36" t="s">
        <v>1</v>
      </c>
      <c r="G2" s="38" t="s">
        <v>2</v>
      </c>
      <c r="H2" s="6"/>
    </row>
    <row r="3" spans="1:8">
      <c r="A3" s="40">
        <v>1</v>
      </c>
      <c r="B3" s="15"/>
      <c r="C3" s="20">
        <v>5</v>
      </c>
      <c r="D3" s="15"/>
      <c r="E3" s="20">
        <v>5</v>
      </c>
      <c r="G3" s="17">
        <v>5</v>
      </c>
      <c r="H3" s="7" t="s">
        <v>18</v>
      </c>
    </row>
    <row r="4" spans="1:8" ht="14.65" thickBot="1">
      <c r="A4" s="40">
        <v>3</v>
      </c>
      <c r="B4" s="14"/>
      <c r="C4" s="17">
        <v>5</v>
      </c>
      <c r="D4" s="14"/>
      <c r="E4" s="17">
        <v>5</v>
      </c>
      <c r="G4" s="17">
        <v>5</v>
      </c>
      <c r="H4" s="8">
        <v>0.5</v>
      </c>
    </row>
    <row r="5" spans="1:8">
      <c r="A5" s="40">
        <v>5</v>
      </c>
      <c r="B5" s="14"/>
      <c r="C5" s="17">
        <v>6</v>
      </c>
      <c r="D5" s="14"/>
      <c r="E5" s="17">
        <v>6</v>
      </c>
      <c r="G5" s="17">
        <v>6</v>
      </c>
    </row>
    <row r="6" spans="1:8">
      <c r="A6" s="40">
        <v>7</v>
      </c>
      <c r="B6" s="14"/>
      <c r="C6" s="17">
        <v>6</v>
      </c>
      <c r="D6" s="14"/>
      <c r="E6" s="17">
        <v>6</v>
      </c>
      <c r="G6" s="17">
        <v>6</v>
      </c>
    </row>
    <row r="7" spans="1:8" ht="14.65" thickBot="1">
      <c r="A7" s="41">
        <v>9</v>
      </c>
      <c r="B7" s="23"/>
      <c r="C7" s="11">
        <v>6</v>
      </c>
      <c r="D7" s="23"/>
      <c r="E7" s="11">
        <v>6</v>
      </c>
      <c r="F7" s="35"/>
      <c r="G7" s="11">
        <v>6</v>
      </c>
    </row>
  </sheetData>
  <mergeCells count="3">
    <mergeCell ref="B1:C1"/>
    <mergeCell ref="D1:E1"/>
    <mergeCell ref="F1:G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B7E5F-66CC-46E0-B48D-7AED69B96410}">
  <dimension ref="A1:H17"/>
  <sheetViews>
    <sheetView workbookViewId="0">
      <selection activeCell="K19" sqref="K19"/>
    </sheetView>
  </sheetViews>
  <sheetFormatPr defaultRowHeight="14.25"/>
  <cols>
    <col min="2" max="2" width="12.19921875" bestFit="1" customWidth="1"/>
    <col min="3" max="3" width="12.06640625" bestFit="1" customWidth="1"/>
    <col min="4" max="4" width="21.33203125" bestFit="1" customWidth="1"/>
    <col min="6" max="6" width="12.19921875" bestFit="1" customWidth="1"/>
    <col min="7" max="7" width="12.06640625" bestFit="1" customWidth="1"/>
    <col min="8" max="8" width="21.33203125" bestFit="1" customWidth="1"/>
  </cols>
  <sheetData>
    <row r="1" spans="1:8" ht="14.65" thickBot="1">
      <c r="A1" s="54" t="s">
        <v>24</v>
      </c>
      <c r="B1" s="55"/>
      <c r="C1" s="55"/>
      <c r="D1" s="56"/>
      <c r="E1" s="54" t="s">
        <v>25</v>
      </c>
      <c r="F1" s="55"/>
      <c r="G1" s="55"/>
      <c r="H1" s="56"/>
    </row>
    <row r="2" spans="1:8">
      <c r="A2" s="9" t="s">
        <v>0</v>
      </c>
      <c r="B2" s="32" t="s">
        <v>1</v>
      </c>
      <c r="C2" s="32" t="s">
        <v>2</v>
      </c>
      <c r="D2" s="5" t="s">
        <v>26</v>
      </c>
      <c r="E2" s="9" t="s">
        <v>0</v>
      </c>
      <c r="F2" s="32" t="s">
        <v>1</v>
      </c>
      <c r="G2" s="32" t="s">
        <v>2</v>
      </c>
      <c r="H2" s="5" t="s">
        <v>26</v>
      </c>
    </row>
    <row r="3" spans="1:8" ht="14.65" thickBot="1">
      <c r="A3" s="34">
        <v>1</v>
      </c>
      <c r="C3">
        <v>4</v>
      </c>
      <c r="D3" s="6">
        <v>1.45</v>
      </c>
      <c r="E3" s="34">
        <v>1</v>
      </c>
      <c r="G3">
        <v>4</v>
      </c>
      <c r="H3" s="6">
        <v>1.45</v>
      </c>
    </row>
    <row r="4" spans="1:8">
      <c r="A4" s="34">
        <v>2</v>
      </c>
      <c r="C4">
        <v>4</v>
      </c>
      <c r="D4" s="5" t="s">
        <v>27</v>
      </c>
      <c r="E4" s="34">
        <v>2</v>
      </c>
      <c r="G4">
        <v>4</v>
      </c>
      <c r="H4" s="5" t="s">
        <v>27</v>
      </c>
    </row>
    <row r="5" spans="1:8">
      <c r="A5" s="34">
        <v>3</v>
      </c>
      <c r="C5">
        <v>4</v>
      </c>
      <c r="D5" s="6"/>
      <c r="E5" s="34">
        <v>3</v>
      </c>
      <c r="G5">
        <v>4</v>
      </c>
      <c r="H5" s="6"/>
    </row>
    <row r="6" spans="1:8">
      <c r="A6" s="34">
        <v>4</v>
      </c>
      <c r="C6">
        <v>4</v>
      </c>
      <c r="D6" s="7" t="s">
        <v>18</v>
      </c>
      <c r="E6" s="34">
        <v>4</v>
      </c>
      <c r="G6">
        <v>4</v>
      </c>
      <c r="H6" s="7" t="s">
        <v>18</v>
      </c>
    </row>
    <row r="7" spans="1:8" ht="14.65" thickBot="1">
      <c r="A7" s="34">
        <v>5</v>
      </c>
      <c r="B7" s="35"/>
      <c r="C7" s="11">
        <v>4</v>
      </c>
      <c r="D7" s="6">
        <v>0.5</v>
      </c>
      <c r="E7" s="34">
        <v>5</v>
      </c>
      <c r="F7" s="35"/>
      <c r="G7" s="35">
        <v>4</v>
      </c>
      <c r="H7" s="6">
        <v>0.5</v>
      </c>
    </row>
    <row r="8" spans="1:8">
      <c r="D8" s="7" t="s">
        <v>28</v>
      </c>
      <c r="H8" s="5" t="s">
        <v>28</v>
      </c>
    </row>
    <row r="9" spans="1:8" ht="14.65" thickBot="1">
      <c r="D9" s="8">
        <v>3.9947999999999997E-2</v>
      </c>
      <c r="H9" s="8">
        <v>8.3797999999999997E-2</v>
      </c>
    </row>
    <row r="10" spans="1:8">
      <c r="D10" s="7" t="s">
        <v>30</v>
      </c>
      <c r="H10" s="7" t="s">
        <v>30</v>
      </c>
    </row>
    <row r="11" spans="1:8">
      <c r="D11" s="6">
        <v>5.0000000000000001E-4</v>
      </c>
      <c r="H11" s="6">
        <v>5.0000000000000001E-4</v>
      </c>
    </row>
    <row r="12" spans="1:8">
      <c r="D12" s="7" t="s">
        <v>16</v>
      </c>
      <c r="H12" s="7" t="s">
        <v>16</v>
      </c>
    </row>
    <row r="13" spans="1:8" ht="14.65" thickBot="1">
      <c r="D13" s="31">
        <v>1.6666666666666667</v>
      </c>
      <c r="H13" s="31">
        <v>1.6666666666666667</v>
      </c>
    </row>
    <row r="14" spans="1:8">
      <c r="D14" s="5" t="s">
        <v>37</v>
      </c>
      <c r="H14" s="5" t="s">
        <v>37</v>
      </c>
    </row>
    <row r="15" spans="1:8" ht="14.65" thickBot="1">
      <c r="D15" s="8"/>
      <c r="H15" s="8"/>
    </row>
    <row r="16" spans="1:8">
      <c r="D16" s="5" t="s">
        <v>38</v>
      </c>
      <c r="H16" s="5" t="s">
        <v>38</v>
      </c>
    </row>
    <row r="17" spans="4:8" ht="14.65" thickBot="1">
      <c r="D17" s="8">
        <v>5.0000000000000001E-3</v>
      </c>
      <c r="H17" s="8">
        <v>5.0000000000000001E-3</v>
      </c>
    </row>
  </sheetData>
  <mergeCells count="2">
    <mergeCell ref="A1:D1"/>
    <mergeCell ref="E1:H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DE9FB-B547-41CD-8278-951487520755}">
  <dimension ref="A1:J9"/>
  <sheetViews>
    <sheetView workbookViewId="0">
      <selection activeCell="B2" sqref="B2:B9"/>
    </sheetView>
  </sheetViews>
  <sheetFormatPr defaultRowHeight="14.25"/>
  <cols>
    <col min="1" max="1" width="4.73046875" bestFit="1" customWidth="1"/>
    <col min="2" max="2" width="5.73046875" bestFit="1" customWidth="1"/>
    <col min="3" max="4" width="7.86328125" bestFit="1" customWidth="1"/>
    <col min="5" max="5" width="10.06640625" bestFit="1" customWidth="1"/>
    <col min="6" max="6" width="4.73046875" bestFit="1" customWidth="1"/>
    <col min="7" max="7" width="5.73046875" bestFit="1" customWidth="1"/>
    <col min="8" max="9" width="7.86328125" bestFit="1" customWidth="1"/>
    <col min="10" max="10" width="10.06640625" bestFit="1" customWidth="1"/>
  </cols>
  <sheetData>
    <row r="1" spans="1:10">
      <c r="A1" s="62" t="s">
        <v>24</v>
      </c>
      <c r="B1" s="63"/>
      <c r="C1" s="63"/>
      <c r="D1" s="63"/>
      <c r="E1" s="64"/>
      <c r="F1" s="62" t="s">
        <v>25</v>
      </c>
      <c r="G1" s="63"/>
      <c r="H1" s="63"/>
      <c r="I1" s="63"/>
      <c r="J1" s="64"/>
    </row>
    <row r="2" spans="1:10">
      <c r="A2" s="34" t="s">
        <v>31</v>
      </c>
      <c r="B2" s="59" t="s">
        <v>35</v>
      </c>
      <c r="C2" s="59" t="s">
        <v>11</v>
      </c>
      <c r="D2" s="59" t="s">
        <v>12</v>
      </c>
      <c r="E2" s="60" t="s">
        <v>32</v>
      </c>
      <c r="F2" s="34" t="s">
        <v>31</v>
      </c>
      <c r="G2" s="59" t="s">
        <v>35</v>
      </c>
      <c r="H2" s="59" t="s">
        <v>11</v>
      </c>
      <c r="I2" s="59" t="s">
        <v>12</v>
      </c>
      <c r="J2" s="60" t="s">
        <v>32</v>
      </c>
    </row>
    <row r="3" spans="1:10">
      <c r="A3" s="14">
        <v>1.57</v>
      </c>
      <c r="B3" s="61">
        <v>5.0000000000000001E-3</v>
      </c>
      <c r="C3" s="61"/>
      <c r="D3" s="61"/>
      <c r="E3" s="17" t="e">
        <f>AVERAGE(C3:D3)</f>
        <v>#DIV/0!</v>
      </c>
      <c r="F3" s="14">
        <v>1.57</v>
      </c>
      <c r="G3" s="61">
        <v>5.0000000000000001E-3</v>
      </c>
      <c r="H3" s="61"/>
      <c r="I3" s="61"/>
      <c r="J3" s="17" t="e">
        <f>AVERAGE(H3:I3)</f>
        <v>#DIV/0!</v>
      </c>
    </row>
    <row r="4" spans="1:10">
      <c r="A4" s="14">
        <v>1.37</v>
      </c>
      <c r="B4" s="61">
        <v>5.0000000000000001E-3</v>
      </c>
      <c r="C4" s="61"/>
      <c r="D4" s="61"/>
      <c r="E4" s="17" t="e">
        <f t="shared" ref="E4:E9" si="0">AVERAGE(C4:D4)</f>
        <v>#DIV/0!</v>
      </c>
      <c r="F4" s="14">
        <v>1.37</v>
      </c>
      <c r="G4" s="61">
        <v>5.0000000000000001E-3</v>
      </c>
      <c r="H4" s="61"/>
      <c r="I4" s="61"/>
      <c r="J4" s="17" t="e">
        <f t="shared" ref="J4:J9" si="1">AVERAGE(H4:I4)</f>
        <v>#DIV/0!</v>
      </c>
    </row>
    <row r="5" spans="1:10">
      <c r="A5" s="14">
        <v>1.17</v>
      </c>
      <c r="B5" s="61">
        <v>5.0000000000000001E-3</v>
      </c>
      <c r="C5" s="61"/>
      <c r="D5" s="61"/>
      <c r="E5" s="17" t="e">
        <f t="shared" si="0"/>
        <v>#DIV/0!</v>
      </c>
      <c r="F5" s="14">
        <v>1.17</v>
      </c>
      <c r="G5" s="61">
        <v>5.0000000000000001E-3</v>
      </c>
      <c r="H5" s="61"/>
      <c r="I5" s="61"/>
      <c r="J5" s="17" t="e">
        <f t="shared" si="1"/>
        <v>#DIV/0!</v>
      </c>
    </row>
    <row r="6" spans="1:10">
      <c r="A6" s="14">
        <v>0.97</v>
      </c>
      <c r="B6" s="61">
        <v>5.0000000000000001E-3</v>
      </c>
      <c r="C6" s="61"/>
      <c r="D6" s="61"/>
      <c r="E6" s="17" t="e">
        <f t="shared" si="0"/>
        <v>#DIV/0!</v>
      </c>
      <c r="F6" s="14">
        <v>0.97</v>
      </c>
      <c r="G6" s="61">
        <v>5.0000000000000001E-3</v>
      </c>
      <c r="H6" s="61"/>
      <c r="I6" s="61"/>
      <c r="J6" s="17" t="e">
        <f t="shared" si="1"/>
        <v>#DIV/0!</v>
      </c>
    </row>
    <row r="7" spans="1:10">
      <c r="A7" s="14">
        <v>0.77</v>
      </c>
      <c r="B7" s="61">
        <v>5.0000000000000001E-3</v>
      </c>
      <c r="C7" s="61"/>
      <c r="D7" s="61"/>
      <c r="E7" s="17" t="e">
        <f t="shared" si="0"/>
        <v>#DIV/0!</v>
      </c>
      <c r="F7" s="14">
        <v>0.77</v>
      </c>
      <c r="G7" s="61">
        <v>5.0000000000000001E-3</v>
      </c>
      <c r="H7" s="61"/>
      <c r="I7" s="61"/>
      <c r="J7" s="17" t="e">
        <f t="shared" si="1"/>
        <v>#DIV/0!</v>
      </c>
    </row>
    <row r="8" spans="1:10">
      <c r="A8" s="14">
        <v>0.56999999999999995</v>
      </c>
      <c r="B8" s="61">
        <v>5.0000000000000001E-3</v>
      </c>
      <c r="C8" s="61"/>
      <c r="D8" s="61"/>
      <c r="E8" s="17" t="e">
        <f t="shared" si="0"/>
        <v>#DIV/0!</v>
      </c>
      <c r="F8" s="14">
        <v>0.56999999999999995</v>
      </c>
      <c r="G8" s="61">
        <v>5.0000000000000001E-3</v>
      </c>
      <c r="H8" s="61"/>
      <c r="I8" s="61"/>
      <c r="J8" s="17" t="e">
        <f t="shared" si="1"/>
        <v>#DIV/0!</v>
      </c>
    </row>
    <row r="9" spans="1:10" ht="14.65" thickBot="1">
      <c r="A9" s="23">
        <v>0.37</v>
      </c>
      <c r="B9" s="35">
        <v>5.0000000000000001E-3</v>
      </c>
      <c r="C9" s="35"/>
      <c r="D9" s="35"/>
      <c r="E9" s="11" t="e">
        <f t="shared" si="0"/>
        <v>#DIV/0!</v>
      </c>
      <c r="F9" s="23">
        <v>0.37</v>
      </c>
      <c r="G9" s="35">
        <v>5.0000000000000001E-3</v>
      </c>
      <c r="H9" s="35"/>
      <c r="I9" s="35"/>
      <c r="J9" s="11" t="e">
        <f t="shared" si="1"/>
        <v>#DIV/0!</v>
      </c>
    </row>
  </sheetData>
  <mergeCells count="2">
    <mergeCell ref="A1:E1"/>
    <mergeCell ref="F1:J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BD33A-E969-4B4D-8F9E-2B427EE50E6E}">
  <dimension ref="A1:C11"/>
  <sheetViews>
    <sheetView tabSelected="1" workbookViewId="0">
      <selection sqref="A1:C11"/>
    </sheetView>
  </sheetViews>
  <sheetFormatPr defaultRowHeight="14.25"/>
  <cols>
    <col min="1" max="1" width="12.19921875" bestFit="1" customWidth="1"/>
    <col min="2" max="2" width="11.06640625" bestFit="1" customWidth="1"/>
    <col min="3" max="3" width="9.6640625" bestFit="1" customWidth="1"/>
  </cols>
  <sheetData>
    <row r="1" spans="1:3">
      <c r="A1" s="9" t="s">
        <v>1</v>
      </c>
      <c r="B1" s="32" t="s">
        <v>34</v>
      </c>
      <c r="C1" s="33" t="s">
        <v>36</v>
      </c>
    </row>
    <row r="2" spans="1:3">
      <c r="A2" s="14"/>
      <c r="B2" s="61"/>
      <c r="C2" s="46"/>
    </row>
    <row r="3" spans="1:3">
      <c r="A3" s="14"/>
      <c r="B3" s="61"/>
      <c r="C3" s="46"/>
    </row>
    <row r="4" spans="1:3">
      <c r="A4" s="14"/>
      <c r="B4" s="61"/>
      <c r="C4" s="46"/>
    </row>
    <row r="5" spans="1:3">
      <c r="A5" s="14"/>
      <c r="B5" s="61"/>
      <c r="C5" s="46"/>
    </row>
    <row r="6" spans="1:3">
      <c r="A6" s="14"/>
      <c r="B6" s="61"/>
      <c r="C6" s="46"/>
    </row>
    <row r="7" spans="1:3">
      <c r="A7" s="14"/>
      <c r="B7" s="61"/>
      <c r="C7" s="46"/>
    </row>
    <row r="8" spans="1:3">
      <c r="A8" s="14"/>
      <c r="B8" s="61"/>
      <c r="C8" s="46"/>
    </row>
    <row r="9" spans="1:3">
      <c r="A9" s="14"/>
      <c r="B9" s="61"/>
      <c r="C9" s="17"/>
    </row>
    <row r="10" spans="1:3">
      <c r="A10" s="14"/>
      <c r="B10" s="61"/>
      <c r="C10" s="17"/>
    </row>
    <row r="11" spans="1:3" ht="14.65" thickBot="1">
      <c r="A11" s="23"/>
      <c r="B11" s="35"/>
      <c r="C11" s="1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10</vt:i4>
      </vt:variant>
    </vt:vector>
  </HeadingPairs>
  <TitlesOfParts>
    <vt:vector size="10" baseType="lpstr">
      <vt:lpstr>Aria (tubo aperto)</vt:lpstr>
      <vt:lpstr>Ventri e nodi</vt:lpstr>
      <vt:lpstr>Aria (tubo chiuso)</vt:lpstr>
      <vt:lpstr>Argon e Kripton</vt:lpstr>
      <vt:lpstr>Onde quadre-riflessione</vt:lpstr>
      <vt:lpstr>Ampiezza e fase</vt:lpstr>
      <vt:lpstr>Aria 2 (tubo chiuso)</vt:lpstr>
      <vt:lpstr>Argon e kripton 2</vt:lpstr>
      <vt:lpstr>Onde quadre (Argon e Kripton)</vt:lpstr>
      <vt:lpstr>Ampiezza e fase 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m.declich@campus.unimib.it</dc:creator>
  <cp:keywords/>
  <dc:description/>
  <cp:lastModifiedBy>m.declich@campus.unimib.it</cp:lastModifiedBy>
  <cp:revision/>
  <dcterms:created xsi:type="dcterms:W3CDTF">2026-03-31T09:18:44Z</dcterms:created>
  <dcterms:modified xsi:type="dcterms:W3CDTF">2026-05-16T10:49:07Z</dcterms:modified>
  <cp:category/>
  <cp:contentStatus/>
</cp:coreProperties>
</file>