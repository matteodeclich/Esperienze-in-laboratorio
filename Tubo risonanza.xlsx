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mibit-my.sharepoint.com/personal/m_declich_campus_unimib_it/Documents/Documenti/Università/I° anno/Laboratorio I/Esperienze in laboratorio/"/>
    </mc:Choice>
  </mc:AlternateContent>
  <xr:revisionPtr revIDLastSave="459" documentId="8_{34F8618C-3BC8-4D1E-A580-8499E5AA5FF8}" xr6:coauthVersionLast="47" xr6:coauthVersionMax="47" xr10:uidLastSave="{4107681A-6FF2-4830-A7E6-6A484EFDD51E}"/>
  <bookViews>
    <workbookView xWindow="-98" yWindow="-98" windowWidth="21795" windowHeight="12975" xr2:uid="{84DCF574-2E35-45F1-915E-7E47BD9768D8}"/>
  </bookViews>
  <sheets>
    <sheet name="Aria (tubo aperto)" sheetId="1" r:id="rId1"/>
    <sheet name="Foglio1" sheetId="6" r:id="rId2"/>
    <sheet name="Aria (tubo chiuso)" sheetId="2" r:id="rId3"/>
    <sheet name="Argon e Kripton" sheetId="3" r:id="rId4"/>
    <sheet name="Onde quadre-riflessione" sheetId="4" r:id="rId5"/>
    <sheet name="Punto 5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2" i="6"/>
  <c r="F1" i="6"/>
  <c r="G5" i="5"/>
  <c r="E3" i="4"/>
  <c r="E4" i="4"/>
  <c r="E5" i="4"/>
  <c r="E6" i="4"/>
  <c r="E7" i="4"/>
  <c r="E8" i="4"/>
  <c r="E2" i="4"/>
  <c r="D8" i="4"/>
  <c r="D3" i="4"/>
  <c r="D4" i="4"/>
  <c r="D5" i="4"/>
  <c r="D6" i="4"/>
  <c r="D7" i="4"/>
  <c r="D2" i="4"/>
</calcChain>
</file>

<file path=xl/sharedStrings.xml><?xml version="1.0" encoding="utf-8"?>
<sst xmlns="http://schemas.openxmlformats.org/spreadsheetml/2006/main" count="45" uniqueCount="29">
  <si>
    <t>n</t>
  </si>
  <si>
    <t>Frequenza (hz)</t>
  </si>
  <si>
    <t>Incertezza (hz)</t>
  </si>
  <si>
    <t>D diametro del tubo aperto</t>
  </si>
  <si>
    <t>Incertezza</t>
  </si>
  <si>
    <t>n=4</t>
  </si>
  <si>
    <t>Distanza (cm)</t>
  </si>
  <si>
    <t>frequenza=760,2 hz</t>
  </si>
  <si>
    <t>Ventri</t>
  </si>
  <si>
    <t>Nodi</t>
  </si>
  <si>
    <t>λ_n teorica</t>
  </si>
  <si>
    <t>80 cm</t>
  </si>
  <si>
    <t>55 cm</t>
  </si>
  <si>
    <t>65 cm</t>
  </si>
  <si>
    <t>L=145 cm</t>
  </si>
  <si>
    <t>T=23.5</t>
  </si>
  <si>
    <t>M</t>
  </si>
  <si>
    <t>x</t>
  </si>
  <si>
    <t>Delta T_1</t>
  </si>
  <si>
    <t>Delta T_2</t>
  </si>
  <si>
    <t>v_1</t>
  </si>
  <si>
    <t>v_2</t>
  </si>
  <si>
    <t>incertezza su Δt</t>
  </si>
  <si>
    <t>0,1 ms</t>
  </si>
  <si>
    <t>Frequenza hz</t>
  </si>
  <si>
    <t>Ampiezza  V</t>
  </si>
  <si>
    <t>Dt micro s</t>
  </si>
  <si>
    <t>Incertezza (m)</t>
  </si>
  <si>
    <t>Lunghezza tubo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</si>
</sst>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2" xfId="0" applyFill="1" applyBorder="1"/>
    <xf numFmtId="0" fontId="0" fillId="0" borderId="3" xfId="0" applyBorder="1"/>
    <xf numFmtId="0" fontId="0" fillId="2" borderId="3" xfId="0" applyFill="1" applyBorder="1"/>
    <xf numFmtId="0" fontId="0" fillId="0" borderId="4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2C44-05D5-4272-A0FE-86D34BE429B9}">
  <dimension ref="A1:D8"/>
  <sheetViews>
    <sheetView tabSelected="1" workbookViewId="0">
      <selection activeCell="D12" sqref="D12"/>
    </sheetView>
  </sheetViews>
  <sheetFormatPr defaultRowHeight="14.25" x14ac:dyDescent="0.45"/>
  <cols>
    <col min="1" max="1" width="22.3984375" customWidth="1"/>
    <col min="2" max="2" width="21.59765625" customWidth="1"/>
    <col min="3" max="5" width="22" customWidth="1"/>
    <col min="6" max="6" width="16.2656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7" t="s">
        <v>3</v>
      </c>
    </row>
    <row r="2" spans="1:4" x14ac:dyDescent="0.45">
      <c r="A2" s="2">
        <v>1</v>
      </c>
      <c r="B2">
        <v>190.1</v>
      </c>
      <c r="C2">
        <v>3.5</v>
      </c>
      <c r="D2" s="8">
        <v>3.5000000000000003E-2</v>
      </c>
    </row>
    <row r="3" spans="1:4" x14ac:dyDescent="0.45">
      <c r="A3" s="2">
        <v>2</v>
      </c>
      <c r="B3">
        <v>381</v>
      </c>
      <c r="C3">
        <v>3.5</v>
      </c>
      <c r="D3" s="9" t="s">
        <v>27</v>
      </c>
    </row>
    <row r="4" spans="1:4" x14ac:dyDescent="0.45">
      <c r="A4" s="2">
        <v>3</v>
      </c>
      <c r="B4">
        <v>561</v>
      </c>
      <c r="C4">
        <v>4</v>
      </c>
      <c r="D4" s="8">
        <v>5.0000000000000001E-3</v>
      </c>
    </row>
    <row r="5" spans="1:4" x14ac:dyDescent="0.45">
      <c r="A5" s="2">
        <v>4</v>
      </c>
      <c r="B5">
        <v>760.2</v>
      </c>
      <c r="C5">
        <v>4</v>
      </c>
      <c r="D5" s="9" t="s">
        <v>28</v>
      </c>
    </row>
    <row r="6" spans="1:4" x14ac:dyDescent="0.45">
      <c r="A6" s="2">
        <v>5</v>
      </c>
      <c r="B6">
        <v>935.6</v>
      </c>
      <c r="C6">
        <v>4</v>
      </c>
      <c r="D6" s="8">
        <v>0.9</v>
      </c>
    </row>
    <row r="7" spans="1:4" x14ac:dyDescent="0.45">
      <c r="D7" s="9" t="s">
        <v>27</v>
      </c>
    </row>
    <row r="8" spans="1:4" ht="14.65" thickBot="1" x14ac:dyDescent="0.5">
      <c r="D8" s="10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17E3-9B4E-4B1F-B0F5-FBC89FE8E318}">
  <dimension ref="A1:F11"/>
  <sheetViews>
    <sheetView workbookViewId="0">
      <selection activeCell="C17" sqref="C17"/>
    </sheetView>
  </sheetViews>
  <sheetFormatPr defaultRowHeight="14.25" x14ac:dyDescent="0.45"/>
  <cols>
    <col min="1" max="1" width="16.19921875" bestFit="1" customWidth="1"/>
    <col min="2" max="2" width="5.33203125" bestFit="1" customWidth="1"/>
    <col min="3" max="3" width="11.53125" bestFit="1" customWidth="1"/>
    <col min="4" max="4" width="8.73046875" bestFit="1" customWidth="1"/>
    <col min="5" max="5" width="9.1328125" bestFit="1" customWidth="1"/>
  </cols>
  <sheetData>
    <row r="1" spans="1:6" x14ac:dyDescent="0.45">
      <c r="C1" s="2" t="s">
        <v>6</v>
      </c>
      <c r="D1" s="2" t="s">
        <v>4</v>
      </c>
      <c r="E1" t="s">
        <v>10</v>
      </c>
      <c r="F1">
        <f>(2*90)/4</f>
        <v>45</v>
      </c>
    </row>
    <row r="2" spans="1:6" x14ac:dyDescent="0.45">
      <c r="A2" s="4" t="s">
        <v>5</v>
      </c>
      <c r="B2" s="5" t="s">
        <v>8</v>
      </c>
      <c r="C2" s="3">
        <v>34.5</v>
      </c>
      <c r="D2">
        <v>0.5</v>
      </c>
      <c r="F2" s="3">
        <f>C4-C2</f>
        <v>44.3</v>
      </c>
    </row>
    <row r="3" spans="1:6" x14ac:dyDescent="0.45">
      <c r="A3" s="4" t="s">
        <v>7</v>
      </c>
      <c r="B3" s="5"/>
      <c r="C3" s="3">
        <v>56</v>
      </c>
      <c r="D3">
        <v>0.5</v>
      </c>
      <c r="F3" s="3">
        <f>C7-C5</f>
        <v>44.5</v>
      </c>
    </row>
    <row r="4" spans="1:6" x14ac:dyDescent="0.45">
      <c r="B4" s="6"/>
      <c r="C4" s="3">
        <v>78.8</v>
      </c>
      <c r="D4">
        <v>0.5</v>
      </c>
    </row>
    <row r="5" spans="1:6" x14ac:dyDescent="0.45">
      <c r="B5" s="5" t="s">
        <v>9</v>
      </c>
      <c r="C5" s="3">
        <v>23</v>
      </c>
      <c r="D5">
        <v>0.5</v>
      </c>
    </row>
    <row r="6" spans="1:6" x14ac:dyDescent="0.45">
      <c r="B6" s="5"/>
      <c r="C6" s="3">
        <v>45</v>
      </c>
      <c r="D6">
        <v>0.5</v>
      </c>
    </row>
    <row r="7" spans="1:6" x14ac:dyDescent="0.45">
      <c r="B7" s="5"/>
      <c r="C7" s="3">
        <v>67.5</v>
      </c>
      <c r="D7">
        <v>0.5</v>
      </c>
    </row>
    <row r="11" spans="1:6" x14ac:dyDescent="0.45">
      <c r="C11" s="3"/>
    </row>
  </sheetData>
  <mergeCells count="2">
    <mergeCell ref="B2:B4"/>
    <mergeCell ref="B5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339D-D738-4E2D-B0E2-FC9074DD0D10}">
  <dimension ref="B1:H7"/>
  <sheetViews>
    <sheetView workbookViewId="0">
      <selection activeCell="C4" sqref="C4"/>
    </sheetView>
  </sheetViews>
  <sheetFormatPr defaultRowHeight="14.25" x14ac:dyDescent="0.45"/>
  <cols>
    <col min="2" max="2" width="13" customWidth="1"/>
    <col min="3" max="3" width="13.59765625" customWidth="1"/>
    <col min="5" max="5" width="15.86328125" customWidth="1"/>
    <col min="6" max="6" width="13.59765625" customWidth="1"/>
    <col min="7" max="7" width="12" customWidth="1"/>
    <col min="8" max="8" width="13" customWidth="1"/>
  </cols>
  <sheetData>
    <row r="1" spans="2:8" x14ac:dyDescent="0.45">
      <c r="C1" s="5" t="s">
        <v>11</v>
      </c>
      <c r="D1" s="5"/>
      <c r="E1" s="5" t="s">
        <v>12</v>
      </c>
      <c r="F1" s="5"/>
      <c r="G1" s="5" t="s">
        <v>13</v>
      </c>
      <c r="H1" s="5"/>
    </row>
    <row r="2" spans="2:8" x14ac:dyDescent="0.45">
      <c r="B2" s="1" t="s">
        <v>0</v>
      </c>
      <c r="C2" s="1" t="s">
        <v>1</v>
      </c>
      <c r="D2" s="1" t="s">
        <v>2</v>
      </c>
      <c r="E2" s="1" t="s">
        <v>1</v>
      </c>
      <c r="F2" s="1" t="s">
        <v>2</v>
      </c>
      <c r="G2" s="1" t="s">
        <v>1</v>
      </c>
      <c r="H2" s="1" t="s">
        <v>2</v>
      </c>
    </row>
    <row r="3" spans="2:8" x14ac:dyDescent="0.45">
      <c r="B3" s="2">
        <v>1</v>
      </c>
      <c r="C3">
        <v>319.2</v>
      </c>
      <c r="D3">
        <v>2</v>
      </c>
      <c r="E3">
        <v>760</v>
      </c>
      <c r="F3">
        <v>3</v>
      </c>
      <c r="G3">
        <v>377</v>
      </c>
      <c r="H3">
        <v>3</v>
      </c>
    </row>
    <row r="4" spans="2:8" x14ac:dyDescent="0.45">
      <c r="B4" s="2">
        <v>2</v>
      </c>
      <c r="C4">
        <v>534.29999999999995</v>
      </c>
      <c r="D4">
        <v>2</v>
      </c>
      <c r="E4">
        <v>1068</v>
      </c>
      <c r="F4">
        <v>3</v>
      </c>
      <c r="G4">
        <v>632</v>
      </c>
      <c r="H4">
        <v>3</v>
      </c>
    </row>
    <row r="5" spans="2:8" x14ac:dyDescent="0.45">
      <c r="B5" s="2">
        <v>3</v>
      </c>
      <c r="C5">
        <v>741.2</v>
      </c>
      <c r="D5">
        <v>2</v>
      </c>
      <c r="E5">
        <v>1688</v>
      </c>
      <c r="F5">
        <v>3</v>
      </c>
      <c r="G5">
        <v>884</v>
      </c>
      <c r="H5">
        <v>3</v>
      </c>
    </row>
    <row r="6" spans="2:8" x14ac:dyDescent="0.45">
      <c r="B6" s="2">
        <v>4</v>
      </c>
      <c r="C6">
        <v>954.1</v>
      </c>
      <c r="D6">
        <v>2</v>
      </c>
      <c r="E6">
        <v>1990</v>
      </c>
      <c r="F6">
        <v>5</v>
      </c>
      <c r="G6">
        <v>1146</v>
      </c>
      <c r="H6">
        <v>3</v>
      </c>
    </row>
    <row r="7" spans="2:8" x14ac:dyDescent="0.45">
      <c r="B7" s="2">
        <v>5</v>
      </c>
      <c r="C7">
        <v>1155.0999999999999</v>
      </c>
      <c r="D7">
        <v>2</v>
      </c>
      <c r="E7">
        <v>2290</v>
      </c>
      <c r="F7">
        <v>5</v>
      </c>
      <c r="G7">
        <v>1404.5</v>
      </c>
      <c r="H7">
        <v>3</v>
      </c>
    </row>
  </sheetData>
  <mergeCells count="3">
    <mergeCell ref="C1:D1"/>
    <mergeCell ref="G1:H1"/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4CEC-525A-4BCF-91E4-363DE62CA86F}">
  <dimension ref="A1:K6"/>
  <sheetViews>
    <sheetView workbookViewId="0">
      <selection activeCell="J3" sqref="J3"/>
    </sheetView>
  </sheetViews>
  <sheetFormatPr defaultRowHeight="14.25" x14ac:dyDescent="0.45"/>
  <cols>
    <col min="2" max="2" width="13" customWidth="1"/>
    <col min="3" max="3" width="14.86328125" customWidth="1"/>
    <col min="7" max="7" width="14.3984375" customWidth="1"/>
    <col min="8" max="8" width="12.8632812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0</v>
      </c>
      <c r="G1" s="1" t="s">
        <v>1</v>
      </c>
      <c r="H1" s="1" t="s">
        <v>2</v>
      </c>
      <c r="I1" s="1" t="s">
        <v>14</v>
      </c>
      <c r="J1" s="1" t="s">
        <v>15</v>
      </c>
      <c r="K1" s="1" t="s">
        <v>16</v>
      </c>
    </row>
    <row r="2" spans="1:11" x14ac:dyDescent="0.45">
      <c r="A2" s="2">
        <v>1</v>
      </c>
      <c r="B2">
        <v>440.2</v>
      </c>
      <c r="C2">
        <v>2</v>
      </c>
      <c r="F2" s="2">
        <v>1</v>
      </c>
      <c r="G2">
        <v>314.5</v>
      </c>
      <c r="H2">
        <v>3</v>
      </c>
      <c r="K2">
        <v>83.8</v>
      </c>
    </row>
    <row r="3" spans="1:11" x14ac:dyDescent="0.45">
      <c r="A3" s="2">
        <v>2</v>
      </c>
      <c r="B3">
        <v>549.5</v>
      </c>
      <c r="C3">
        <v>2</v>
      </c>
      <c r="F3" s="2">
        <v>2</v>
      </c>
      <c r="G3">
        <v>400</v>
      </c>
      <c r="H3">
        <v>3</v>
      </c>
    </row>
    <row r="4" spans="1:11" x14ac:dyDescent="0.45">
      <c r="A4" s="2">
        <v>3</v>
      </c>
      <c r="B4">
        <v>659.5</v>
      </c>
      <c r="C4">
        <v>2</v>
      </c>
      <c r="F4" s="2">
        <v>3</v>
      </c>
      <c r="G4">
        <v>500</v>
      </c>
      <c r="H4">
        <v>1</v>
      </c>
    </row>
    <row r="5" spans="1:11" x14ac:dyDescent="0.45">
      <c r="A5" s="2">
        <v>4</v>
      </c>
      <c r="B5">
        <v>769.5</v>
      </c>
      <c r="C5">
        <v>2</v>
      </c>
      <c r="F5" s="2">
        <v>4</v>
      </c>
      <c r="G5">
        <v>600</v>
      </c>
      <c r="H5">
        <v>1</v>
      </c>
    </row>
    <row r="6" spans="1:11" x14ac:dyDescent="0.45">
      <c r="A6" s="2">
        <v>5</v>
      </c>
      <c r="B6">
        <v>882</v>
      </c>
      <c r="C6">
        <v>2</v>
      </c>
      <c r="F6" s="2">
        <v>5</v>
      </c>
      <c r="G6">
        <v>700</v>
      </c>
      <c r="H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85B9-F09A-4019-850A-B546C03596ED}">
  <dimension ref="A1:F8"/>
  <sheetViews>
    <sheetView topLeftCell="C1" workbookViewId="0">
      <selection activeCell="D8" sqref="D8"/>
    </sheetView>
  </sheetViews>
  <sheetFormatPr defaultRowHeight="14.25" x14ac:dyDescent="0.45"/>
  <sheetData>
    <row r="1" spans="1:6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45">
      <c r="A2">
        <v>1.57</v>
      </c>
      <c r="B2">
        <v>4.4999999999999997E-3</v>
      </c>
      <c r="C2">
        <v>4.4999999999999997E-3</v>
      </c>
      <c r="D2">
        <f t="shared" ref="D2:D8" si="0">A2/B2</f>
        <v>348.88888888888891</v>
      </c>
      <c r="E2">
        <f>A2/C2</f>
        <v>348.88888888888891</v>
      </c>
      <c r="F2" t="s">
        <v>23</v>
      </c>
    </row>
    <row r="3" spans="1:6" x14ac:dyDescent="0.45">
      <c r="A3">
        <v>1.37</v>
      </c>
      <c r="B3">
        <v>3.9199999999999999E-3</v>
      </c>
      <c r="C3">
        <v>3.9199999999999999E-3</v>
      </c>
      <c r="D3">
        <f t="shared" si="0"/>
        <v>349.48979591836741</v>
      </c>
      <c r="E3">
        <f t="shared" ref="E3:E8" si="1">A3/C3</f>
        <v>349.48979591836741</v>
      </c>
    </row>
    <row r="4" spans="1:6" x14ac:dyDescent="0.45">
      <c r="A4">
        <v>1.17</v>
      </c>
      <c r="B4">
        <v>3.3600000000000001E-3</v>
      </c>
      <c r="C4">
        <v>3.3500000000000001E-3</v>
      </c>
      <c r="D4">
        <f t="shared" si="0"/>
        <v>348.21428571428567</v>
      </c>
      <c r="E4">
        <f t="shared" si="1"/>
        <v>349.25373134328356</v>
      </c>
    </row>
    <row r="5" spans="1:6" x14ac:dyDescent="0.45">
      <c r="A5">
        <v>0.97</v>
      </c>
      <c r="B5">
        <v>2.7899999999999999E-3</v>
      </c>
      <c r="C5">
        <v>2.7699999999999999E-3</v>
      </c>
      <c r="D5">
        <f t="shared" si="0"/>
        <v>347.67025089605733</v>
      </c>
      <c r="E5">
        <f t="shared" si="1"/>
        <v>350.18050541516249</v>
      </c>
    </row>
    <row r="6" spans="1:6" x14ac:dyDescent="0.45">
      <c r="A6">
        <v>0.77</v>
      </c>
      <c r="B6">
        <v>2.2000000000000001E-3</v>
      </c>
      <c r="C6">
        <v>2.2000000000000001E-3</v>
      </c>
      <c r="D6">
        <f t="shared" si="0"/>
        <v>350</v>
      </c>
      <c r="E6">
        <f t="shared" si="1"/>
        <v>350</v>
      </c>
    </row>
    <row r="7" spans="1:6" x14ac:dyDescent="0.45">
      <c r="A7">
        <v>0.56999999999999995</v>
      </c>
      <c r="B7">
        <v>1.6199999999999999E-3</v>
      </c>
      <c r="C7">
        <v>1.6199999999999999E-3</v>
      </c>
      <c r="D7">
        <f t="shared" si="0"/>
        <v>351.85185185185185</v>
      </c>
      <c r="E7">
        <f t="shared" si="1"/>
        <v>351.85185185185185</v>
      </c>
    </row>
    <row r="8" spans="1:6" x14ac:dyDescent="0.45">
      <c r="A8">
        <v>0.37</v>
      </c>
      <c r="B8">
        <v>1.0499999999999999E-3</v>
      </c>
      <c r="C8">
        <v>1.0399999999999999E-3</v>
      </c>
      <c r="D8">
        <f t="shared" si="0"/>
        <v>352.38095238095241</v>
      </c>
      <c r="E8">
        <f t="shared" si="1"/>
        <v>355.76923076923077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5F12-453C-425C-ABA4-7F1645AB6AC5}">
  <dimension ref="A1:G9"/>
  <sheetViews>
    <sheetView workbookViewId="0">
      <selection activeCell="G5" sqref="G5"/>
    </sheetView>
  </sheetViews>
  <sheetFormatPr defaultRowHeight="14.25" x14ac:dyDescent="0.45"/>
  <cols>
    <col min="1" max="1" width="15.1328125" customWidth="1"/>
    <col min="4" max="4" width="19" customWidth="1"/>
  </cols>
  <sheetData>
    <row r="1" spans="1:7" x14ac:dyDescent="0.45">
      <c r="A1" t="s">
        <v>24</v>
      </c>
      <c r="B1" t="s">
        <v>25</v>
      </c>
      <c r="C1" t="s">
        <v>26</v>
      </c>
    </row>
    <row r="3" spans="1:7" x14ac:dyDescent="0.45">
      <c r="A3">
        <v>490</v>
      </c>
      <c r="C3">
        <v>-710</v>
      </c>
    </row>
    <row r="4" spans="1:7" x14ac:dyDescent="0.45">
      <c r="A4">
        <v>500</v>
      </c>
      <c r="B4">
        <v>3.44</v>
      </c>
      <c r="C4">
        <v>-620</v>
      </c>
    </row>
    <row r="5" spans="1:7" x14ac:dyDescent="0.45">
      <c r="A5">
        <v>510</v>
      </c>
      <c r="B5">
        <v>3.22</v>
      </c>
      <c r="C5">
        <v>-460</v>
      </c>
      <c r="G5">
        <f>(730*490)*2*PI()*10^-6</f>
        <v>2.247495384378138</v>
      </c>
    </row>
    <row r="6" spans="1:7" x14ac:dyDescent="0.45">
      <c r="A6">
        <v>520</v>
      </c>
      <c r="B6">
        <v>4.4000000000000004</v>
      </c>
      <c r="C6">
        <v>-80</v>
      </c>
    </row>
    <row r="7" spans="1:7" x14ac:dyDescent="0.45">
      <c r="A7">
        <v>534.29999999999995</v>
      </c>
      <c r="B7">
        <v>2.2200000000000002</v>
      </c>
      <c r="C7">
        <v>150</v>
      </c>
    </row>
    <row r="8" spans="1:7" x14ac:dyDescent="0.45">
      <c r="A8">
        <v>540</v>
      </c>
      <c r="B8">
        <v>1.8</v>
      </c>
      <c r="C8">
        <v>150</v>
      </c>
    </row>
    <row r="9" spans="1:7" x14ac:dyDescent="0.45">
      <c r="A9">
        <v>550</v>
      </c>
      <c r="B9">
        <v>1.42</v>
      </c>
      <c r="C9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Aria (tubo aperto)</vt:lpstr>
      <vt:lpstr>Foglio1</vt:lpstr>
      <vt:lpstr>Aria (tubo chiuso)</vt:lpstr>
      <vt:lpstr>Argon e Kripton</vt:lpstr>
      <vt:lpstr>Onde quadre-riflessione</vt:lpstr>
      <vt:lpstr>Punto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m.declich@campus.unimib.it</dc:creator>
  <cp:keywords/>
  <dc:description/>
  <cp:lastModifiedBy>m.declich@campus.unimib.it</cp:lastModifiedBy>
  <cp:revision/>
  <dcterms:created xsi:type="dcterms:W3CDTF">2026-03-31T09:18:44Z</dcterms:created>
  <dcterms:modified xsi:type="dcterms:W3CDTF">2026-05-06T18:46:05Z</dcterms:modified>
  <cp:category/>
  <cp:contentStatus/>
</cp:coreProperties>
</file>