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63" documentId="8_{34F8618C-3BC8-4D1E-A580-8499E5AA5FF8}" xr6:coauthVersionLast="47" xr6:coauthVersionMax="47" xr10:uidLastSave="{84F3592A-EAFA-4997-BD1A-FA617A1730A0}"/>
  <bookViews>
    <workbookView xWindow="675" yWindow="1657" windowWidth="16200" windowHeight="9308" firstSheet="1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I7" i="6"/>
  <c r="I6" i="6"/>
  <c r="I5" i="6"/>
  <c r="I3" i="6"/>
  <c r="I2" i="6"/>
  <c r="I4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<sst xmlns="http://schemas.openxmlformats.org/spreadsheetml/2006/main" count="58" uniqueCount="38">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</sst>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1" fillId="2" borderId="0" xfId="0" applyFont="1" applyFill="1"/>
    <xf numFmtId="165" fontId="1" fillId="0" borderId="0" xfId="0" applyNumberFormat="1" applyFont="1"/>
    <xf numFmtId="0" fontId="0" fillId="2" borderId="4" xfId="0" applyFill="1" applyBorder="1"/>
    <xf numFmtId="164" fontId="0" fillId="0" borderId="5" xfId="0" applyNumberFormat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164" fontId="0" fillId="0" borderId="9" xfId="0" applyNumberFormat="1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0" xfId="0" applyNumberFormat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0" xfId="0" applyFill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5" t="s">
        <v>3</v>
      </c>
      <c r="E1" s="1" t="s">
        <v>26</v>
      </c>
    </row>
    <row r="2" spans="1: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>
      <c r="A3" s="2">
        <v>2</v>
      </c>
      <c r="B3">
        <v>381</v>
      </c>
      <c r="C3">
        <v>3.5</v>
      </c>
      <c r="D3" s="7" t="s">
        <v>24</v>
      </c>
      <c r="E3" s="1" t="s">
        <v>31</v>
      </c>
    </row>
    <row r="4" spans="1: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>
      <c r="A5" s="2">
        <v>4</v>
      </c>
      <c r="B5">
        <v>760.2</v>
      </c>
      <c r="C5">
        <v>4</v>
      </c>
      <c r="D5" s="7" t="s">
        <v>25</v>
      </c>
      <c r="E5" s="1" t="s">
        <v>27</v>
      </c>
    </row>
    <row r="6" spans="1: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>
      <c r="D7" s="7" t="s">
        <v>24</v>
      </c>
      <c r="E7" s="1" t="s">
        <v>28</v>
      </c>
    </row>
    <row r="8" spans="1:5" ht="14.65" thickBot="1">
      <c r="D8" s="8">
        <v>0.01</v>
      </c>
      <c r="E8">
        <v>5.0000000000000001E-4</v>
      </c>
    </row>
    <row r="9" spans="1:5">
      <c r="E9" s="1" t="s">
        <v>29</v>
      </c>
    </row>
    <row r="10" spans="1:5">
      <c r="E10">
        <v>1.4</v>
      </c>
    </row>
    <row r="11" spans="1:5">
      <c r="E11" s="9" t="s">
        <v>30</v>
      </c>
    </row>
    <row r="12" spans="1: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I11"/>
  <sheetViews>
    <sheetView workbookViewId="0">
      <selection activeCell="C14" sqref="C14"/>
    </sheetView>
  </sheetViews>
  <sheetFormatPr defaultRowHeight="14.25"/>
  <cols>
    <col min="1" max="1" width="16.19921875" bestFit="1" customWidth="1"/>
    <col min="2" max="2" width="5.332031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9" ht="14.65" thickBot="1">
      <c r="A1" s="4" t="s">
        <v>4</v>
      </c>
      <c r="B1" s="19"/>
      <c r="C1" s="20" t="s">
        <v>37</v>
      </c>
      <c r="D1" s="16" t="s">
        <v>24</v>
      </c>
      <c r="E1" s="15" t="s">
        <v>7</v>
      </c>
      <c r="F1" s="16" t="s">
        <v>32</v>
      </c>
      <c r="G1" s="11" t="s">
        <v>35</v>
      </c>
      <c r="H1" s="15" t="s">
        <v>0</v>
      </c>
      <c r="I1" s="16" t="s">
        <v>36</v>
      </c>
    </row>
    <row r="2" spans="1:9">
      <c r="B2" s="33" t="s">
        <v>5</v>
      </c>
      <c r="C2" s="24">
        <v>0.34499999999999997</v>
      </c>
      <c r="D2" s="25">
        <v>0.05</v>
      </c>
      <c r="E2" s="17">
        <f>G2/G4</f>
        <v>0.45381056300973421</v>
      </c>
      <c r="F2" s="18">
        <f>C4-C3</f>
        <v>0.22799999999999998</v>
      </c>
      <c r="G2" s="26">
        <v>344.98678999999998</v>
      </c>
      <c r="H2" s="17">
        <v>1</v>
      </c>
      <c r="I2" s="21">
        <f>G2/(2*G4)</f>
        <v>0.22690528150486711</v>
      </c>
    </row>
    <row r="3" spans="1:9">
      <c r="B3" s="34"/>
      <c r="C3" s="22">
        <v>0.56000000000000005</v>
      </c>
      <c r="D3" s="21">
        <v>0.05</v>
      </c>
      <c r="E3" s="17"/>
      <c r="F3" s="18">
        <f>C7-C6</f>
        <v>0.22500000000000003</v>
      </c>
      <c r="G3" s="27" t="s">
        <v>1</v>
      </c>
      <c r="H3" s="29">
        <v>1.5</v>
      </c>
      <c r="I3" s="21">
        <f>3*G2/(4*G4)</f>
        <v>0.34035792225730072</v>
      </c>
    </row>
    <row r="4" spans="1:9" ht="14.65" thickBot="1">
      <c r="B4" s="35"/>
      <c r="C4" s="23">
        <v>0.78800000000000003</v>
      </c>
      <c r="D4" s="14">
        <v>0.05</v>
      </c>
      <c r="E4" s="17"/>
      <c r="F4" s="18">
        <f>C6-C5</f>
        <v>0.22</v>
      </c>
      <c r="G4" s="28">
        <v>760.2</v>
      </c>
      <c r="H4" s="17">
        <v>2</v>
      </c>
      <c r="I4" s="21">
        <f>G2/G4</f>
        <v>0.45381056300973421</v>
      </c>
    </row>
    <row r="5" spans="1:9" ht="14.65" thickBot="1">
      <c r="B5" s="33" t="s">
        <v>6</v>
      </c>
      <c r="C5" s="24">
        <v>0.23</v>
      </c>
      <c r="D5" s="25">
        <v>0.05</v>
      </c>
      <c r="E5" s="17"/>
      <c r="F5" s="18">
        <f>C3-C2</f>
        <v>0.21500000000000008</v>
      </c>
      <c r="H5" s="30">
        <v>2.5</v>
      </c>
      <c r="I5" s="21">
        <f>(5*G2)/(4*G4)</f>
        <v>0.56726320376216777</v>
      </c>
    </row>
    <row r="6" spans="1:9">
      <c r="B6" s="34"/>
      <c r="C6" s="22">
        <v>0.45</v>
      </c>
      <c r="D6" s="21">
        <v>0.05</v>
      </c>
      <c r="E6" s="11" t="s">
        <v>33</v>
      </c>
      <c r="F6" s="12">
        <f>AVERAGE(F2:F5)</f>
        <v>0.22200000000000003</v>
      </c>
      <c r="H6" s="29">
        <v>3</v>
      </c>
      <c r="I6" s="21">
        <f>3*G2/(2*G4)</f>
        <v>0.68071584451460143</v>
      </c>
    </row>
    <row r="7" spans="1:9" ht="14.65" thickBot="1">
      <c r="B7" s="35"/>
      <c r="C7" s="23">
        <v>0.67500000000000004</v>
      </c>
      <c r="D7" s="14">
        <v>0.05</v>
      </c>
      <c r="E7" s="13" t="s">
        <v>34</v>
      </c>
      <c r="F7" s="14">
        <f>2*F6</f>
        <v>0.44400000000000006</v>
      </c>
      <c r="H7" s="31">
        <v>3.5</v>
      </c>
      <c r="I7" s="14">
        <f>(G2*7)/(4*G4)</f>
        <v>0.79416848526703487</v>
      </c>
    </row>
    <row r="11" spans="1:9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H3" sqref="H3:H7"/>
    </sheetView>
  </sheetViews>
  <sheetFormatPr defaultRowHeight="14.2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>
      <c r="B1" s="32" t="s">
        <v>8</v>
      </c>
      <c r="C1" s="32"/>
      <c r="D1" s="32" t="s">
        <v>10</v>
      </c>
      <c r="E1" s="32"/>
      <c r="G1" s="32" t="s">
        <v>9</v>
      </c>
      <c r="H1" s="32"/>
    </row>
    <row r="2" spans="1:8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0</v>
      </c>
      <c r="G2" s="1" t="s">
        <v>1</v>
      </c>
      <c r="H2" s="1" t="s">
        <v>2</v>
      </c>
    </row>
    <row r="3" spans="1:8">
      <c r="A3" s="2">
        <v>1</v>
      </c>
      <c r="B3">
        <v>319.2</v>
      </c>
      <c r="C3">
        <v>5</v>
      </c>
      <c r="D3">
        <v>377</v>
      </c>
      <c r="E3">
        <v>5</v>
      </c>
      <c r="F3" s="2">
        <v>1</v>
      </c>
      <c r="G3">
        <v>760</v>
      </c>
      <c r="H3">
        <v>5</v>
      </c>
    </row>
    <row r="4" spans="1:8">
      <c r="A4" s="2">
        <v>3</v>
      </c>
      <c r="B4">
        <v>534.29999999999995</v>
      </c>
      <c r="C4">
        <v>5</v>
      </c>
      <c r="D4">
        <v>632</v>
      </c>
      <c r="E4">
        <v>5</v>
      </c>
      <c r="F4" s="2">
        <v>3</v>
      </c>
      <c r="G4">
        <v>1068</v>
      </c>
      <c r="H4">
        <v>5</v>
      </c>
    </row>
    <row r="5" spans="1:8">
      <c r="A5" s="2">
        <v>5</v>
      </c>
      <c r="B5">
        <v>741.2</v>
      </c>
      <c r="C5">
        <v>5</v>
      </c>
      <c r="D5">
        <v>884</v>
      </c>
      <c r="E5">
        <v>5</v>
      </c>
      <c r="F5" s="2">
        <v>7</v>
      </c>
      <c r="G5">
        <v>1688</v>
      </c>
      <c r="H5">
        <v>5</v>
      </c>
    </row>
    <row r="6" spans="1:8">
      <c r="A6" s="2">
        <v>7</v>
      </c>
      <c r="B6">
        <v>954.1</v>
      </c>
      <c r="C6">
        <v>5</v>
      </c>
      <c r="D6">
        <v>1146</v>
      </c>
      <c r="E6">
        <v>5</v>
      </c>
      <c r="F6" s="2">
        <v>9</v>
      </c>
      <c r="G6">
        <v>1990</v>
      </c>
      <c r="H6">
        <v>5</v>
      </c>
    </row>
    <row r="7" spans="1:8">
      <c r="A7" s="2">
        <v>9</v>
      </c>
      <c r="B7">
        <v>1155.0999999999999</v>
      </c>
      <c r="C7">
        <v>5</v>
      </c>
      <c r="D7">
        <v>1404.5</v>
      </c>
      <c r="E7">
        <v>5</v>
      </c>
      <c r="F7" s="2">
        <v>11</v>
      </c>
      <c r="G7">
        <v>2290</v>
      </c>
      <c r="H7">
        <v>5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2</v>
      </c>
      <c r="I1" s="1" t="s">
        <v>11</v>
      </c>
      <c r="J1" s="1" t="s">
        <v>12</v>
      </c>
      <c r="K1" s="1" t="s">
        <v>13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/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20</v>
      </c>
    </row>
    <row r="3" spans="1:6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21</v>
      </c>
      <c r="B1" t="s">
        <v>22</v>
      </c>
      <c r="C1" t="s">
        <v>23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2026-05-07T09:53:13Z</dcterms:modified>
  <cp:category/>
  <cp:contentStatus/>
</cp:coreProperties>
</file>