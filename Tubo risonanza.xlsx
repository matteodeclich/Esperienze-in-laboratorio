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877" documentId="8_{34F8618C-3BC8-4D1E-A580-8499E5AA5FF8}" xr6:coauthVersionLast="47" xr6:coauthVersionMax="47" xr10:uidLastSave="{7BEA166E-4FE1-418A-A486-790CD0994675}"/>
  <bookViews>
    <workbookView xWindow="-98" yWindow="-98" windowWidth="21795" windowHeight="12975" activeTab="2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Ampiezza e fase" sheetId="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4" l="1"/>
  <c r="D4" i="4"/>
  <c r="D5" i="4"/>
  <c r="D6" i="4"/>
  <c r="D7" i="4"/>
  <c r="D8" i="4"/>
  <c r="D2" i="4"/>
  <c r="E2" i="6"/>
  <c r="F5" i="6"/>
  <c r="F4" i="6"/>
  <c r="F3" i="6"/>
  <c r="F2" i="6"/>
  <c r="F6" i="6" s="1"/>
  <c r="F7" i="6" s="1"/>
</calcChain>
</file>

<file path=xl/sharedStrings.xml><?xml version="1.0" encoding="utf-8"?>
<sst xmlns="http://schemas.openxmlformats.org/spreadsheetml/2006/main" count="63" uniqueCount="35">
  <si>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</si>
  <si>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</si>
  <si>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</si>
  <si>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</si>
  <si>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</si>
  <si>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</si>
  <si>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</si>
  <si>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</si>
  <si>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</si>
  <si>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</si>
  <si>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</si>
  <si>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Delta T_1</t>
  </si>
  <si>
    <t>Delta T_2</t>
  </si>
  <si>
    <t>Incertezza (m)</t>
  </si>
  <si>
    <t>Lunghezza tubo (m)</t>
  </si>
  <si>
    <t>Temperatura stanza (k)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</si>
  <si>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</si>
  <si>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</si>
  <si>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</si>
  <si>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</si>
  <si>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</si>
  <si>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</si>
  <si>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</si>
  <si>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Distanza (m)</t>
  </si>
  <si>
    <t>Argon</t>
  </si>
  <si>
    <t>Kripton</t>
  </si>
  <si>
    <t>L (m)</t>
  </si>
  <si>
    <t>T (K)</t>
  </si>
  <si>
    <t>Massa molare (kg/mol)</t>
  </si>
  <si>
    <t>Massa molare aria (kg/mol)</t>
  </si>
  <si>
    <t>Incertezza (kg/mol)</t>
  </si>
  <si>
    <t>x (m)</t>
  </si>
  <si>
    <t>Δt medio (s)</t>
  </si>
  <si>
    <t>Δt micro (s)</t>
  </si>
  <si>
    <t>Ampiezza  (V)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</si>
</sst>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#,##0.000000000"/>
    <numFmt numFmtId="166" formatCode="#,##0.00000"/>
    <numFmt numFmtId="167" formatCode="0.000"/>
  </numFmts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2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0" applyNumberFormat="1" applyBorder="1"/>
    <xf numFmtId="12" fontId="0" fillId="0" borderId="6" xfId="0" applyNumberFormat="1" applyBorder="1"/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/>
    <xf numFmtId="12" fontId="0" fillId="0" borderId="4" xfId="0" applyNumberFormat="1" applyBorder="1"/>
    <xf numFmtId="12" fontId="0" fillId="0" borderId="3" xfId="0" applyNumberFormat="1" applyBorder="1"/>
    <xf numFmtId="0" fontId="0" fillId="2" borderId="10" xfId="0" applyFill="1" applyBorder="1"/>
    <xf numFmtId="0" fontId="0" fillId="2" borderId="5" xfId="0" applyFill="1" applyBorder="1"/>
    <xf numFmtId="0" fontId="0" fillId="3" borderId="8" xfId="0" applyFill="1" applyBorder="1"/>
    <xf numFmtId="0" fontId="0" fillId="0" borderId="11" xfId="0" applyBorder="1"/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3" borderId="2" xfId="0" applyFill="1" applyBorder="1"/>
    <xf numFmtId="0" fontId="0" fillId="3" borderId="3" xfId="0" applyFill="1" applyBorder="1"/>
    <xf numFmtId="0" fontId="1" fillId="2" borderId="2" xfId="0" applyFont="1" applyFill="1" applyBorder="1"/>
    <xf numFmtId="165" fontId="1" fillId="0" borderId="3" xfId="0" applyNumberFormat="1" applyFont="1" applyBorder="1"/>
    <xf numFmtId="0" fontId="0" fillId="3" borderId="13" xfId="0" applyFill="1" applyBorder="1"/>
    <xf numFmtId="0" fontId="0" fillId="3" borderId="15" xfId="0" applyFill="1" applyBorder="1"/>
    <xf numFmtId="11" fontId="0" fillId="0" borderId="9" xfId="0" applyNumberFormat="1" applyBorder="1"/>
    <xf numFmtId="11" fontId="0" fillId="0" borderId="7" xfId="0" applyNumberFormat="1" applyBorder="1"/>
    <xf numFmtId="0" fontId="0" fillId="3" borderId="10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5" borderId="13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topLeftCell="B1" workbookViewId="0">
      <selection activeCell="E3" sqref="E3:E4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ht="14.65" thickBot="1">
      <c r="A1" s="1" t="s">
        <v>0</v>
      </c>
      <c r="B1" s="1" t="s">
        <v>1</v>
      </c>
      <c r="C1" s="1" t="s">
        <v>2</v>
      </c>
      <c r="D1" s="9" t="s">
        <v>3</v>
      </c>
      <c r="E1" s="5" t="s">
        <v>15</v>
      </c>
    </row>
    <row r="2" spans="1:5">
      <c r="A2" s="2">
        <v>1</v>
      </c>
      <c r="B2" s="15">
        <v>190.1</v>
      </c>
      <c r="C2" s="20">
        <v>3.5</v>
      </c>
      <c r="D2" s="14">
        <v>3.5000000000000003E-2</v>
      </c>
      <c r="E2" s="6">
        <v>296.14999999999998</v>
      </c>
    </row>
    <row r="3" spans="1:5">
      <c r="A3" s="2">
        <v>2</v>
      </c>
      <c r="B3" s="14">
        <v>381</v>
      </c>
      <c r="C3" s="17">
        <v>3.5</v>
      </c>
      <c r="D3" s="22" t="s">
        <v>13</v>
      </c>
      <c r="E3" s="7" t="s">
        <v>18</v>
      </c>
    </row>
    <row r="4" spans="1:5">
      <c r="A4" s="2">
        <v>3</v>
      </c>
      <c r="B4" s="14">
        <v>561</v>
      </c>
      <c r="C4" s="17">
        <v>4</v>
      </c>
      <c r="D4" s="14">
        <v>5.0000000000000001E-3</v>
      </c>
      <c r="E4" s="6">
        <v>0.5</v>
      </c>
    </row>
    <row r="5" spans="1:5">
      <c r="A5" s="2">
        <v>4</v>
      </c>
      <c r="B5" s="14">
        <v>760.2</v>
      </c>
      <c r="C5" s="17">
        <v>4</v>
      </c>
      <c r="D5" s="22" t="s">
        <v>14</v>
      </c>
      <c r="E5" s="7" t="s">
        <v>29</v>
      </c>
    </row>
    <row r="6" spans="1:5" ht="14.65" thickBot="1">
      <c r="A6" s="2">
        <v>5</v>
      </c>
      <c r="B6" s="23">
        <v>935.6</v>
      </c>
      <c r="C6" s="11">
        <v>4</v>
      </c>
      <c r="D6" s="14">
        <v>0.9</v>
      </c>
      <c r="E6" s="6">
        <v>2.8964699999999999E-2</v>
      </c>
    </row>
    <row r="7" spans="1:5">
      <c r="D7" s="22" t="s">
        <v>13</v>
      </c>
      <c r="E7" s="7" t="s">
        <v>30</v>
      </c>
    </row>
    <row r="8" spans="1:5" ht="14.65" thickBot="1">
      <c r="D8" s="23">
        <v>0.01</v>
      </c>
      <c r="E8" s="6">
        <v>5.0000000000000001E-4</v>
      </c>
    </row>
    <row r="9" spans="1:5">
      <c r="E9" s="7" t="s">
        <v>16</v>
      </c>
    </row>
    <row r="10" spans="1:5">
      <c r="E10" s="6">
        <v>1.4</v>
      </c>
    </row>
    <row r="11" spans="1:5">
      <c r="E11" s="42" t="s">
        <v>17</v>
      </c>
    </row>
    <row r="12" spans="1:5" ht="14.65" thickBot="1">
      <c r="E12" s="43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workbookViewId="0">
      <selection activeCell="H15" sqref="H15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2" t="s">
        <v>0</v>
      </c>
      <c r="C1" s="16" t="s">
        <v>23</v>
      </c>
      <c r="D1" s="13" t="s">
        <v>13</v>
      </c>
      <c r="E1" s="44" t="s">
        <v>7</v>
      </c>
      <c r="F1" s="45" t="s">
        <v>19</v>
      </c>
      <c r="G1" s="9" t="s">
        <v>22</v>
      </c>
    </row>
    <row r="2" spans="1:7">
      <c r="A2" s="51" t="s">
        <v>5</v>
      </c>
      <c r="B2" s="30">
        <v>1.5</v>
      </c>
      <c r="C2" s="19">
        <v>0.34499999999999997</v>
      </c>
      <c r="D2" s="20">
        <v>0.05</v>
      </c>
      <c r="E2">
        <f>G2/G4</f>
        <v>0.45381056300973421</v>
      </c>
      <c r="F2" s="26">
        <f>C4-C3</f>
        <v>0.22799999999999998</v>
      </c>
      <c r="G2" s="21">
        <v>344.98678999999998</v>
      </c>
    </row>
    <row r="3" spans="1:7">
      <c r="A3" s="52"/>
      <c r="B3" s="24">
        <v>2.5</v>
      </c>
      <c r="C3" s="29">
        <v>0.56000000000000005</v>
      </c>
      <c r="D3" s="17">
        <v>0.05</v>
      </c>
      <c r="F3" s="26">
        <f>C7-C6</f>
        <v>0.22500000000000003</v>
      </c>
      <c r="G3" s="22" t="s">
        <v>1</v>
      </c>
    </row>
    <row r="4" spans="1:7" ht="14.65" thickBot="1">
      <c r="A4" s="53"/>
      <c r="B4" s="25">
        <v>3.5</v>
      </c>
      <c r="C4" s="18">
        <v>0.78800000000000003</v>
      </c>
      <c r="D4" s="11">
        <v>0.05</v>
      </c>
      <c r="F4" s="26">
        <f>C6-C5</f>
        <v>0.22</v>
      </c>
      <c r="G4" s="23">
        <v>760.2</v>
      </c>
    </row>
    <row r="5" spans="1:7" ht="14.65" thickBot="1">
      <c r="A5" s="51" t="s">
        <v>6</v>
      </c>
      <c r="B5" s="24">
        <v>1</v>
      </c>
      <c r="C5" s="29">
        <v>0.23</v>
      </c>
      <c r="D5" s="17">
        <v>0.05</v>
      </c>
      <c r="E5" s="14"/>
      <c r="F5" s="26">
        <f>C3-C2</f>
        <v>0.21500000000000008</v>
      </c>
    </row>
    <row r="6" spans="1:7">
      <c r="A6" s="52"/>
      <c r="B6" s="24">
        <v>2</v>
      </c>
      <c r="C6" s="29">
        <v>0.45</v>
      </c>
      <c r="D6" s="17">
        <v>0.05</v>
      </c>
      <c r="E6" s="9" t="s">
        <v>20</v>
      </c>
      <c r="F6" s="27">
        <f>AVERAGE(F2:F5)</f>
        <v>0.22200000000000003</v>
      </c>
    </row>
    <row r="7" spans="1:7" ht="14.65" thickBot="1">
      <c r="A7" s="53"/>
      <c r="B7" s="25">
        <v>3</v>
      </c>
      <c r="C7" s="18">
        <v>0.67500000000000004</v>
      </c>
      <c r="D7" s="11">
        <v>0.05</v>
      </c>
      <c r="E7" s="10" t="s">
        <v>21</v>
      </c>
      <c r="F7" s="28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tabSelected="1" workbookViewId="0">
      <selection activeCell="F13" sqref="F13"/>
    </sheetView>
  </sheetViews>
  <sheetFormatPr defaultRowHeight="14.25"/>
  <cols>
    <col min="2" max="2" width="13" customWidth="1"/>
    <col min="3" max="3" width="13.59765625" customWidth="1"/>
    <col min="4" max="4" width="12.19921875" bestFit="1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 ht="14.65" thickBot="1">
      <c r="A1" s="15"/>
      <c r="B1" s="48" t="s">
        <v>8</v>
      </c>
      <c r="C1" s="49"/>
      <c r="D1" s="50" t="s">
        <v>10</v>
      </c>
      <c r="E1" s="49"/>
      <c r="F1" s="15"/>
      <c r="G1" s="50" t="s">
        <v>9</v>
      </c>
      <c r="H1" s="49"/>
    </row>
    <row r="2" spans="1:8" ht="14.65" thickBot="1">
      <c r="A2" s="39" t="s">
        <v>0</v>
      </c>
      <c r="B2" s="37" t="s">
        <v>1</v>
      </c>
      <c r="C2" s="38" t="s">
        <v>2</v>
      </c>
      <c r="D2" s="36" t="s">
        <v>1</v>
      </c>
      <c r="E2" s="38" t="s">
        <v>2</v>
      </c>
      <c r="F2" s="36" t="s">
        <v>0</v>
      </c>
      <c r="G2" s="36" t="s">
        <v>1</v>
      </c>
      <c r="H2" s="38" t="s">
        <v>2</v>
      </c>
    </row>
    <row r="3" spans="1:8">
      <c r="A3" s="40">
        <v>3</v>
      </c>
      <c r="B3">
        <v>319.2</v>
      </c>
      <c r="C3" s="17">
        <v>5</v>
      </c>
      <c r="D3" s="14">
        <v>377</v>
      </c>
      <c r="E3" s="17">
        <v>5</v>
      </c>
      <c r="F3" s="40">
        <v>5</v>
      </c>
      <c r="G3">
        <v>760</v>
      </c>
      <c r="H3" s="17">
        <v>5</v>
      </c>
    </row>
    <row r="4" spans="1:8">
      <c r="A4" s="40">
        <v>5</v>
      </c>
      <c r="B4">
        <v>534.29999999999995</v>
      </c>
      <c r="C4" s="17">
        <v>5</v>
      </c>
      <c r="D4" s="14">
        <v>632</v>
      </c>
      <c r="E4" s="17">
        <v>5</v>
      </c>
      <c r="F4" s="40">
        <v>7</v>
      </c>
      <c r="G4">
        <v>1068</v>
      </c>
      <c r="H4" s="17">
        <v>5</v>
      </c>
    </row>
    <row r="5" spans="1:8">
      <c r="A5" s="40">
        <v>7</v>
      </c>
      <c r="B5">
        <v>741.2</v>
      </c>
      <c r="C5" s="17">
        <v>6</v>
      </c>
      <c r="D5" s="14">
        <v>884</v>
      </c>
      <c r="E5" s="17">
        <v>6</v>
      </c>
      <c r="F5" s="40">
        <v>9</v>
      </c>
      <c r="G5">
        <v>1688</v>
      </c>
      <c r="H5" s="17">
        <v>6</v>
      </c>
    </row>
    <row r="6" spans="1:8">
      <c r="A6" s="40">
        <v>9</v>
      </c>
      <c r="B6">
        <v>954.1</v>
      </c>
      <c r="C6" s="17">
        <v>6</v>
      </c>
      <c r="D6" s="14">
        <v>1146</v>
      </c>
      <c r="E6" s="17">
        <v>6</v>
      </c>
      <c r="F6" s="40">
        <v>11</v>
      </c>
      <c r="G6">
        <v>1990</v>
      </c>
      <c r="H6" s="17">
        <v>6</v>
      </c>
    </row>
    <row r="7" spans="1:8" ht="14.65" thickBot="1">
      <c r="A7" s="41">
        <v>11</v>
      </c>
      <c r="B7" s="35">
        <v>1155.0999999999999</v>
      </c>
      <c r="C7" s="11">
        <v>6</v>
      </c>
      <c r="D7" s="23">
        <v>1404.5</v>
      </c>
      <c r="E7" s="11">
        <v>6</v>
      </c>
      <c r="F7" s="41">
        <v>13</v>
      </c>
      <c r="G7" s="35">
        <v>2290</v>
      </c>
      <c r="H7" s="11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H13"/>
  <sheetViews>
    <sheetView workbookViewId="0">
      <selection activeCell="F3" sqref="F3"/>
    </sheetView>
  </sheetViews>
  <sheetFormatPr defaultRowHeight="14.25"/>
  <cols>
    <col min="2" max="2" width="13" customWidth="1"/>
    <col min="3" max="3" width="14.86328125" customWidth="1"/>
    <col min="4" max="4" width="21.33203125" bestFit="1" customWidth="1"/>
    <col min="6" max="6" width="12.19921875" bestFit="1" customWidth="1"/>
    <col min="7" max="7" width="14.3984375" customWidth="1"/>
    <col min="8" max="8" width="21.33203125" bestFit="1" customWidth="1"/>
    <col min="9" max="9" width="18.53125" bestFit="1" customWidth="1"/>
  </cols>
  <sheetData>
    <row r="1" spans="1:8" ht="14.65" thickBot="1">
      <c r="A1" s="54" t="s">
        <v>24</v>
      </c>
      <c r="B1" s="55"/>
      <c r="C1" s="55"/>
      <c r="D1" s="56"/>
      <c r="E1" s="54" t="s">
        <v>25</v>
      </c>
      <c r="F1" s="55"/>
      <c r="G1" s="55"/>
      <c r="H1" s="56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4</v>
      </c>
      <c r="B3">
        <v>440.2</v>
      </c>
      <c r="C3">
        <v>4</v>
      </c>
      <c r="D3" s="6">
        <v>1.45</v>
      </c>
      <c r="E3" s="34">
        <v>3</v>
      </c>
      <c r="F3">
        <v>314.5</v>
      </c>
      <c r="G3">
        <v>4</v>
      </c>
      <c r="H3" s="6">
        <v>1.45</v>
      </c>
    </row>
    <row r="4" spans="1:8">
      <c r="A4" s="34">
        <v>5</v>
      </c>
      <c r="B4">
        <v>549.5</v>
      </c>
      <c r="C4">
        <v>4</v>
      </c>
      <c r="D4" s="5" t="s">
        <v>27</v>
      </c>
      <c r="E4" s="34">
        <v>4</v>
      </c>
      <c r="F4">
        <v>400</v>
      </c>
      <c r="G4">
        <v>4</v>
      </c>
      <c r="H4" s="5" t="s">
        <v>27</v>
      </c>
    </row>
    <row r="5" spans="1:8">
      <c r="A5" s="34">
        <v>6</v>
      </c>
      <c r="B5">
        <v>659.5</v>
      </c>
      <c r="C5">
        <v>4</v>
      </c>
      <c r="D5" s="6">
        <v>296.64999999999998</v>
      </c>
      <c r="E5" s="34">
        <v>5</v>
      </c>
      <c r="F5">
        <v>500</v>
      </c>
      <c r="G5">
        <v>4</v>
      </c>
      <c r="H5" s="6">
        <v>296.64999999999998</v>
      </c>
    </row>
    <row r="6" spans="1:8">
      <c r="A6" s="34">
        <v>7</v>
      </c>
      <c r="B6">
        <v>769.5</v>
      </c>
      <c r="C6">
        <v>4</v>
      </c>
      <c r="D6" s="7" t="s">
        <v>18</v>
      </c>
      <c r="E6" s="34">
        <v>6</v>
      </c>
      <c r="F6">
        <v>600</v>
      </c>
      <c r="G6">
        <v>4</v>
      </c>
      <c r="H6" s="7" t="s">
        <v>18</v>
      </c>
    </row>
    <row r="7" spans="1:8" ht="14.65" thickBot="1">
      <c r="A7" s="34">
        <v>8</v>
      </c>
      <c r="B7" s="35">
        <v>882</v>
      </c>
      <c r="C7" s="11">
        <v>4</v>
      </c>
      <c r="D7" s="6">
        <v>0.5</v>
      </c>
      <c r="E7" s="34">
        <v>7</v>
      </c>
      <c r="F7" s="35">
        <v>700</v>
      </c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D8"/>
  <sheetViews>
    <sheetView workbookViewId="0">
      <selection activeCell="E1" sqref="E1:E2"/>
    </sheetView>
  </sheetViews>
  <sheetFormatPr defaultRowHeight="14.25"/>
  <cols>
    <col min="4" max="4" width="10.06640625" bestFit="1" customWidth="1"/>
    <col min="5" max="7" width="13" bestFit="1" customWidth="1"/>
  </cols>
  <sheetData>
    <row r="1" spans="1:4">
      <c r="A1" s="2" t="s">
        <v>31</v>
      </c>
      <c r="B1" s="2" t="s">
        <v>11</v>
      </c>
      <c r="C1" s="2" t="s">
        <v>12</v>
      </c>
      <c r="D1" s="2" t="s">
        <v>32</v>
      </c>
    </row>
    <row r="2" spans="1:4">
      <c r="A2">
        <v>1.57</v>
      </c>
      <c r="B2">
        <v>4.4999999999999997E-3</v>
      </c>
      <c r="C2">
        <v>4.4999999999999997E-3</v>
      </c>
      <c r="D2">
        <f>AVERAGE(B2:C2)</f>
        <v>4.4999999999999997E-3</v>
      </c>
    </row>
    <row r="3" spans="1:4">
      <c r="A3">
        <v>1.37</v>
      </c>
      <c r="B3">
        <v>3.9199999999999999E-3</v>
      </c>
      <c r="C3">
        <v>3.9199999999999999E-3</v>
      </c>
      <c r="D3">
        <f t="shared" ref="D3:D8" si="0">AVERAGE(B3:C3)</f>
        <v>3.9199999999999999E-3</v>
      </c>
    </row>
    <row r="4" spans="1:4">
      <c r="A4">
        <v>1.17</v>
      </c>
      <c r="B4">
        <v>3.3600000000000001E-3</v>
      </c>
      <c r="C4">
        <v>3.3500000000000001E-3</v>
      </c>
      <c r="D4">
        <f t="shared" si="0"/>
        <v>3.3550000000000003E-3</v>
      </c>
    </row>
    <row r="5" spans="1:4">
      <c r="A5">
        <v>0.97</v>
      </c>
      <c r="B5">
        <v>2.7899999999999999E-3</v>
      </c>
      <c r="C5">
        <v>2.7699999999999999E-3</v>
      </c>
      <c r="D5">
        <f t="shared" si="0"/>
        <v>2.7799999999999999E-3</v>
      </c>
    </row>
    <row r="6" spans="1:4">
      <c r="A6">
        <v>0.77</v>
      </c>
      <c r="B6">
        <v>2.2000000000000001E-3</v>
      </c>
      <c r="C6">
        <v>2.2000000000000001E-3</v>
      </c>
      <c r="D6">
        <f t="shared" si="0"/>
        <v>2.2000000000000001E-3</v>
      </c>
    </row>
    <row r="7" spans="1:4">
      <c r="A7">
        <v>0.56999999999999995</v>
      </c>
      <c r="B7">
        <v>1.6199999999999999E-3</v>
      </c>
      <c r="C7">
        <v>1.6199999999999999E-3</v>
      </c>
      <c r="D7">
        <f t="shared" si="0"/>
        <v>1.6199999999999999E-3</v>
      </c>
    </row>
    <row r="8" spans="1:4">
      <c r="A8">
        <v>0.37</v>
      </c>
      <c r="B8">
        <v>1.0499999999999999E-3</v>
      </c>
      <c r="C8">
        <v>1.0399999999999999E-3</v>
      </c>
      <c r="D8">
        <f t="shared" si="0"/>
        <v>1.0449999999999999E-3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C8"/>
  <sheetViews>
    <sheetView workbookViewId="0">
      <selection activeCell="D10" sqref="D10"/>
    </sheetView>
  </sheetViews>
  <sheetFormatPr defaultRowHeight="14.25"/>
  <cols>
    <col min="1" max="1" width="11" bestFit="1" customWidth="1"/>
    <col min="2" max="2" width="9.86328125" bestFit="1" customWidth="1"/>
    <col min="3" max="3" width="10.6640625" bestFit="1" customWidth="1"/>
    <col min="4" max="4" width="19" customWidth="1"/>
  </cols>
  <sheetData>
    <row r="1" spans="1:3">
      <c r="A1" s="9" t="s">
        <v>1</v>
      </c>
      <c r="B1" s="32" t="s">
        <v>34</v>
      </c>
      <c r="C1" s="33" t="s">
        <v>33</v>
      </c>
    </row>
    <row r="2" spans="1:3">
      <c r="A2" s="14">
        <v>490</v>
      </c>
      <c r="B2">
        <v>0.4</v>
      </c>
      <c r="C2" s="46">
        <v>-7.1000000000000002E-4</v>
      </c>
    </row>
    <row r="3" spans="1:3">
      <c r="A3" s="14">
        <v>500</v>
      </c>
      <c r="B3">
        <v>3.44</v>
      </c>
      <c r="C3" s="46">
        <v>-6.2E-4</v>
      </c>
    </row>
    <row r="4" spans="1:3">
      <c r="A4" s="14">
        <v>510</v>
      </c>
      <c r="B4">
        <v>3.22</v>
      </c>
      <c r="C4" s="46">
        <v>-4.6000000000000001E-4</v>
      </c>
    </row>
    <row r="5" spans="1:3">
      <c r="A5" s="14">
        <v>520</v>
      </c>
      <c r="B5">
        <v>4.4000000000000004</v>
      </c>
      <c r="C5" s="46">
        <v>-8.0000000000000007E-5</v>
      </c>
    </row>
    <row r="6" spans="1:3">
      <c r="A6" s="14">
        <v>534.29999999999995</v>
      </c>
      <c r="B6">
        <v>2.2200000000000002</v>
      </c>
      <c r="C6" s="46">
        <v>1.4999999999999999E-4</v>
      </c>
    </row>
    <row r="7" spans="1:3">
      <c r="A7" s="14">
        <v>540</v>
      </c>
      <c r="B7">
        <v>1.8</v>
      </c>
      <c r="C7" s="46">
        <v>1.4999999999999999E-4</v>
      </c>
    </row>
    <row r="8" spans="1:3" ht="14.65" thickBot="1">
      <c r="A8" s="23">
        <v>550</v>
      </c>
      <c r="B8" s="35">
        <v>1.42</v>
      </c>
      <c r="C8" s="47">
        <v>1.8000000000000001E-4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Aria (tubo aperto)</vt:lpstr>
      <vt:lpstr>Ventri e nodi</vt:lpstr>
      <vt:lpstr>Aria (tubo chiuso)</vt:lpstr>
      <vt:lpstr>Argon e Kripton</vt:lpstr>
      <vt:lpstr>Onde quadre-riflessione</vt:lpstr>
      <vt:lpstr>Ampiezza e fase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2026-05-15T10:24:06Z</dcterms:modified>
  <cp:category/>
  <cp:contentStatus/>
</cp:coreProperties>
</file>