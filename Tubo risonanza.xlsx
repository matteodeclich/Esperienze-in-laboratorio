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08" documentId="8_{34F8618C-3BC8-4D1E-A580-8499E5AA5FF8}" xr6:coauthVersionLast="47" xr6:coauthVersionMax="47" xr10:uidLastSave="{F909E5B2-B345-42F4-91DA-D1639678F471}"/>
  <bookViews>
    <workbookView xWindow="-98" yWindow="-98" windowWidth="21795" windowHeight="12975" xr2:uid="{84DCF574-2E35-45F1-915E-7E47BD9768D8}"/>
  </bookViews>
  <sheets>
    <sheet name="Aria (tubo aperto)" sheetId="1" r:id="rId1"/>
    <sheet name="Foglio1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2" i="6"/>
  <c r="F1" i="6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<sst xmlns="http://schemas.openxmlformats.org/spreadsheetml/2006/main" count="51" uniqueCount="35">
  <si>
    <t>n</t>
  </si>
  <si>
    <t>Frequenza (hz)</t>
  </si>
  <si>
    <t>Incertezza (hz)</t>
  </si>
  <si>
    <t>D diametro del tubo aperto</t>
  </si>
  <si>
    <t>Incertezza</t>
  </si>
  <si>
    <t>n=4</t>
  </si>
  <si>
    <t>Distanza (cm)</t>
  </si>
  <si>
    <t>frequenza=760,2 hz</t>
  </si>
  <si>
    <t>Ventri</t>
  </si>
  <si>
    <t>Nodi</t>
  </si>
  <si>
    <t>λ_n teorica</t>
  </si>
  <si>
    <t>80 cm</t>
  </si>
  <si>
    <t>55 cm</t>
  </si>
  <si>
    <t>65 cm</t>
  </si>
  <si>
    <t>L=145 cm</t>
  </si>
  <si>
    <t>T=23.5</t>
  </si>
  <si>
    <t>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</si>
  <si>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</si>
  <si>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</si>
  <si>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</si>
  <si>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</si>
  <si>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</si>
  <si>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</si>
  <si>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</si>
  <si>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</si>
  <si>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</si>
  <si>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</si>
  <si>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</si>
  <si>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</si>
  <si>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</si>
  <si>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</si>
  <si>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</si>
  <si>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</si>
  <si>
    <t>R gas ideale</t>
  </si>
  <si>
    <t>Incertezza temperatura (k)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</si>
</sst>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76" formatCode="#,##0.000000000"/>
  </numFmts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2" xfId="0" applyFill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2" borderId="0" xfId="0" applyFill="1" applyBorder="1"/>
    <xf numFmtId="0" fontId="0" fillId="0" borderId="0" xfId="0" applyFill="1" applyBorder="1"/>
    <xf numFmtId="0" fontId="1" fillId="2" borderId="0" xfId="0" applyFont="1" applyFill="1"/>
    <xf numFmtId="176" fontId="1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abSelected="1" topLeftCell="B1" workbookViewId="0">
      <selection activeCell="F15" sqref="F15"/>
    </sheetView>
  </sheetViews>
  <sheetFormatPr defaultRowHeight="14.25" x14ac:dyDescent="0.4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x14ac:dyDescent="0.45">
      <c r="A1" s="1" t="s">
        <v>0</v>
      </c>
      <c r="B1" s="1" t="s">
        <v>1</v>
      </c>
      <c r="C1" s="1" t="s">
        <v>2</v>
      </c>
      <c r="D1" s="7" t="s">
        <v>3</v>
      </c>
      <c r="E1" s="11" t="s">
        <v>29</v>
      </c>
    </row>
    <row r="2" spans="1:5" x14ac:dyDescent="0.45">
      <c r="A2" s="2">
        <v>1</v>
      </c>
      <c r="B2">
        <v>190.1</v>
      </c>
      <c r="C2">
        <v>3.5</v>
      </c>
      <c r="D2" s="8">
        <v>3.5000000000000003E-2</v>
      </c>
      <c r="E2" s="12">
        <v>296.14999999999998</v>
      </c>
    </row>
    <row r="3" spans="1:5" x14ac:dyDescent="0.45">
      <c r="A3" s="2">
        <v>2</v>
      </c>
      <c r="B3">
        <v>381</v>
      </c>
      <c r="C3">
        <v>3.5</v>
      </c>
      <c r="D3" s="9" t="s">
        <v>27</v>
      </c>
      <c r="E3" s="11" t="s">
        <v>34</v>
      </c>
    </row>
    <row r="4" spans="1:5" x14ac:dyDescent="0.45">
      <c r="A4" s="2">
        <v>3</v>
      </c>
      <c r="B4">
        <v>561</v>
      </c>
      <c r="C4">
        <v>4</v>
      </c>
      <c r="D4" s="8">
        <v>5.0000000000000001E-3</v>
      </c>
      <c r="E4" s="12">
        <v>0.5</v>
      </c>
    </row>
    <row r="5" spans="1:5" x14ac:dyDescent="0.45">
      <c r="A5" s="2">
        <v>4</v>
      </c>
      <c r="B5">
        <v>760.2</v>
      </c>
      <c r="C5">
        <v>4</v>
      </c>
      <c r="D5" s="9" t="s">
        <v>28</v>
      </c>
      <c r="E5" s="1" t="s">
        <v>30</v>
      </c>
    </row>
    <row r="6" spans="1:5" x14ac:dyDescent="0.45">
      <c r="A6" s="2">
        <v>5</v>
      </c>
      <c r="B6">
        <v>935.6</v>
      </c>
      <c r="C6">
        <v>4</v>
      </c>
      <c r="D6" s="8">
        <v>0.9</v>
      </c>
      <c r="E6">
        <v>2.8964699999999999E-2</v>
      </c>
    </row>
    <row r="7" spans="1:5" x14ac:dyDescent="0.45">
      <c r="D7" s="9" t="s">
        <v>27</v>
      </c>
      <c r="E7" s="1" t="s">
        <v>31</v>
      </c>
    </row>
    <row r="8" spans="1:5" ht="14.65" thickBot="1" x14ac:dyDescent="0.5">
      <c r="D8" s="10">
        <v>0.01</v>
      </c>
      <c r="E8" s="12">
        <v>5.0000000000000001E-4</v>
      </c>
    </row>
    <row r="9" spans="1:5" x14ac:dyDescent="0.45">
      <c r="E9" s="1" t="s">
        <v>32</v>
      </c>
    </row>
    <row r="10" spans="1:5" x14ac:dyDescent="0.45">
      <c r="E10">
        <v>1.4</v>
      </c>
    </row>
    <row r="11" spans="1:5" x14ac:dyDescent="0.45">
      <c r="E11" s="13" t="s">
        <v>33</v>
      </c>
    </row>
    <row r="12" spans="1:5" x14ac:dyDescent="0.45">
      <c r="E12" s="14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F11"/>
  <sheetViews>
    <sheetView workbookViewId="0">
      <selection activeCell="C17" sqref="C17"/>
    </sheetView>
  </sheetViews>
  <sheetFormatPr defaultRowHeight="14.25" x14ac:dyDescent="0.45"/>
  <cols>
    <col min="1" max="1" width="16.19921875" bestFit="1" customWidth="1"/>
    <col min="2" max="2" width="5.33203125" bestFit="1" customWidth="1"/>
    <col min="3" max="3" width="11.53125" bestFit="1" customWidth="1"/>
    <col min="4" max="4" width="8.73046875" bestFit="1" customWidth="1"/>
    <col min="5" max="5" width="9.1328125" bestFit="1" customWidth="1"/>
  </cols>
  <sheetData>
    <row r="1" spans="1:6" x14ac:dyDescent="0.45">
      <c r="C1" s="2" t="s">
        <v>6</v>
      </c>
      <c r="D1" s="2" t="s">
        <v>4</v>
      </c>
      <c r="E1" t="s">
        <v>10</v>
      </c>
      <c r="F1">
        <f>(2*90)/4</f>
        <v>45</v>
      </c>
    </row>
    <row r="2" spans="1:6" x14ac:dyDescent="0.45">
      <c r="A2" s="4" t="s">
        <v>5</v>
      </c>
      <c r="B2" s="5" t="s">
        <v>8</v>
      </c>
      <c r="C2" s="3">
        <v>34.5</v>
      </c>
      <c r="D2">
        <v>0.5</v>
      </c>
      <c r="F2" s="3">
        <f>C4-C2</f>
        <v>44.3</v>
      </c>
    </row>
    <row r="3" spans="1:6" x14ac:dyDescent="0.45">
      <c r="A3" s="4" t="s">
        <v>7</v>
      </c>
      <c r="B3" s="5"/>
      <c r="C3" s="3">
        <v>56</v>
      </c>
      <c r="D3">
        <v>0.5</v>
      </c>
      <c r="F3" s="3">
        <f>C7-C5</f>
        <v>44.5</v>
      </c>
    </row>
    <row r="4" spans="1:6" x14ac:dyDescent="0.45">
      <c r="B4" s="6"/>
      <c r="C4" s="3">
        <v>78.8</v>
      </c>
      <c r="D4">
        <v>0.5</v>
      </c>
    </row>
    <row r="5" spans="1:6" x14ac:dyDescent="0.45">
      <c r="B5" s="5" t="s">
        <v>9</v>
      </c>
      <c r="C5" s="3">
        <v>23</v>
      </c>
      <c r="D5">
        <v>0.5</v>
      </c>
    </row>
    <row r="6" spans="1:6" x14ac:dyDescent="0.45">
      <c r="B6" s="5"/>
      <c r="C6" s="3">
        <v>45</v>
      </c>
      <c r="D6">
        <v>0.5</v>
      </c>
    </row>
    <row r="7" spans="1:6" x14ac:dyDescent="0.45">
      <c r="B7" s="5"/>
      <c r="C7" s="3">
        <v>67.5</v>
      </c>
      <c r="D7">
        <v>0.5</v>
      </c>
    </row>
    <row r="11" spans="1:6" x14ac:dyDescent="0.45">
      <c r="C11" s="3"/>
    </row>
  </sheetData>
  <mergeCells count="2">
    <mergeCell ref="B2:B4"/>
    <mergeCell ref="B5:B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B1:H7"/>
  <sheetViews>
    <sheetView workbookViewId="0">
      <selection activeCell="C4" sqref="C4"/>
    </sheetView>
  </sheetViews>
  <sheetFormatPr defaultRowHeight="14.25" x14ac:dyDescent="0.45"/>
  <cols>
    <col min="2" max="2" width="13" customWidth="1"/>
    <col min="3" max="3" width="13.59765625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2:8" x14ac:dyDescent="0.45">
      <c r="C1" s="5" t="s">
        <v>11</v>
      </c>
      <c r="D1" s="5"/>
      <c r="E1" s="5" t="s">
        <v>12</v>
      </c>
      <c r="F1" s="5"/>
      <c r="G1" s="5" t="s">
        <v>13</v>
      </c>
      <c r="H1" s="5"/>
    </row>
    <row r="2" spans="2:8" x14ac:dyDescent="0.45">
      <c r="B2" s="1" t="s">
        <v>0</v>
      </c>
      <c r="C2" s="1" t="s">
        <v>1</v>
      </c>
      <c r="D2" s="1" t="s">
        <v>2</v>
      </c>
      <c r="E2" s="1" t="s">
        <v>1</v>
      </c>
      <c r="F2" s="1" t="s">
        <v>2</v>
      </c>
      <c r="G2" s="1" t="s">
        <v>1</v>
      </c>
      <c r="H2" s="1" t="s">
        <v>2</v>
      </c>
    </row>
    <row r="3" spans="2:8" x14ac:dyDescent="0.45">
      <c r="B3" s="2">
        <v>1</v>
      </c>
      <c r="C3">
        <v>319.2</v>
      </c>
      <c r="D3">
        <v>2</v>
      </c>
      <c r="E3">
        <v>760</v>
      </c>
      <c r="F3">
        <v>3</v>
      </c>
      <c r="G3">
        <v>377</v>
      </c>
      <c r="H3">
        <v>3</v>
      </c>
    </row>
    <row r="4" spans="2:8" x14ac:dyDescent="0.45">
      <c r="B4" s="2">
        <v>2</v>
      </c>
      <c r="C4">
        <v>534.29999999999995</v>
      </c>
      <c r="D4">
        <v>2</v>
      </c>
      <c r="E4">
        <v>1068</v>
      </c>
      <c r="F4">
        <v>3</v>
      </c>
      <c r="G4">
        <v>632</v>
      </c>
      <c r="H4">
        <v>3</v>
      </c>
    </row>
    <row r="5" spans="2:8" x14ac:dyDescent="0.45">
      <c r="B5" s="2">
        <v>3</v>
      </c>
      <c r="C5">
        <v>741.2</v>
      </c>
      <c r="D5">
        <v>2</v>
      </c>
      <c r="E5">
        <v>1688</v>
      </c>
      <c r="F5">
        <v>3</v>
      </c>
      <c r="G5">
        <v>884</v>
      </c>
      <c r="H5">
        <v>3</v>
      </c>
    </row>
    <row r="6" spans="2:8" x14ac:dyDescent="0.45">
      <c r="B6" s="2">
        <v>4</v>
      </c>
      <c r="C6">
        <v>954.1</v>
      </c>
      <c r="D6">
        <v>2</v>
      </c>
      <c r="E6">
        <v>1990</v>
      </c>
      <c r="F6">
        <v>5</v>
      </c>
      <c r="G6">
        <v>1146</v>
      </c>
      <c r="H6">
        <v>3</v>
      </c>
    </row>
    <row r="7" spans="2:8" x14ac:dyDescent="0.45">
      <c r="B7" s="2">
        <v>5</v>
      </c>
      <c r="C7">
        <v>1155.0999999999999</v>
      </c>
      <c r="D7">
        <v>2</v>
      </c>
      <c r="E7">
        <v>2290</v>
      </c>
      <c r="F7">
        <v>5</v>
      </c>
      <c r="G7">
        <v>1404.5</v>
      </c>
      <c r="H7">
        <v>3</v>
      </c>
    </row>
  </sheetData>
  <mergeCells count="3">
    <mergeCell ref="C1:D1"/>
    <mergeCell ref="G1:H1"/>
    <mergeCell ref="E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K6"/>
  <sheetViews>
    <sheetView workbookViewId="0">
      <selection activeCell="J3" sqref="J3"/>
    </sheetView>
  </sheetViews>
  <sheetFormatPr defaultRowHeight="14.25" x14ac:dyDescent="0.45"/>
  <cols>
    <col min="2" max="2" width="13" customWidth="1"/>
    <col min="3" max="3" width="14.86328125" customWidth="1"/>
    <col min="7" max="7" width="14.3984375" customWidth="1"/>
    <col min="8" max="8" width="12.86328125" customWidth="1"/>
  </cols>
  <sheetData>
    <row r="1" spans="1:11" x14ac:dyDescent="0.45">
      <c r="A1" s="1" t="s">
        <v>0</v>
      </c>
      <c r="B1" s="1" t="s">
        <v>1</v>
      </c>
      <c r="C1" s="1" t="s">
        <v>2</v>
      </c>
      <c r="D1" s="1" t="s">
        <v>14</v>
      </c>
      <c r="E1" s="1" t="s">
        <v>15</v>
      </c>
      <c r="F1" s="1" t="s">
        <v>0</v>
      </c>
      <c r="G1" s="1" t="s">
        <v>1</v>
      </c>
      <c r="H1" s="1" t="s">
        <v>2</v>
      </c>
      <c r="I1" s="1" t="s">
        <v>14</v>
      </c>
      <c r="J1" s="1" t="s">
        <v>15</v>
      </c>
      <c r="K1" s="1" t="s">
        <v>16</v>
      </c>
    </row>
    <row r="2" spans="1:11" x14ac:dyDescent="0.45">
      <c r="A2" s="2">
        <v>1</v>
      </c>
      <c r="B2">
        <v>440.2</v>
      </c>
      <c r="C2">
        <v>2</v>
      </c>
      <c r="F2" s="2">
        <v>1</v>
      </c>
      <c r="G2">
        <v>314.5</v>
      </c>
      <c r="H2">
        <v>3</v>
      </c>
      <c r="K2">
        <v>83.8</v>
      </c>
    </row>
    <row r="3" spans="1:11" x14ac:dyDescent="0.45">
      <c r="A3" s="2">
        <v>2</v>
      </c>
      <c r="B3">
        <v>549.5</v>
      </c>
      <c r="C3">
        <v>2</v>
      </c>
      <c r="F3" s="2">
        <v>2</v>
      </c>
      <c r="G3">
        <v>400</v>
      </c>
      <c r="H3">
        <v>3</v>
      </c>
    </row>
    <row r="4" spans="1:11" x14ac:dyDescent="0.45">
      <c r="A4" s="2">
        <v>3</v>
      </c>
      <c r="B4">
        <v>659.5</v>
      </c>
      <c r="C4">
        <v>2</v>
      </c>
      <c r="F4" s="2">
        <v>3</v>
      </c>
      <c r="G4">
        <v>500</v>
      </c>
      <c r="H4">
        <v>1</v>
      </c>
    </row>
    <row r="5" spans="1:11" x14ac:dyDescent="0.45">
      <c r="A5" s="2">
        <v>4</v>
      </c>
      <c r="B5">
        <v>769.5</v>
      </c>
      <c r="C5">
        <v>2</v>
      </c>
      <c r="F5" s="2">
        <v>4</v>
      </c>
      <c r="G5">
        <v>600</v>
      </c>
      <c r="H5">
        <v>1</v>
      </c>
    </row>
    <row r="6" spans="1:11" x14ac:dyDescent="0.45">
      <c r="A6" s="2">
        <v>5</v>
      </c>
      <c r="B6">
        <v>882</v>
      </c>
      <c r="C6">
        <v>2</v>
      </c>
      <c r="F6" s="2">
        <v>5</v>
      </c>
      <c r="G6">
        <v>700</v>
      </c>
      <c r="H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F8"/>
  <sheetViews>
    <sheetView topLeftCell="C1" workbookViewId="0">
      <selection activeCell="D8" sqref="D8"/>
    </sheetView>
  </sheetViews>
  <sheetFormatPr defaultRowHeight="14.25" x14ac:dyDescent="0.45"/>
  <sheetData>
    <row r="1" spans="1:6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 x14ac:dyDescent="0.45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23</v>
      </c>
    </row>
    <row r="3" spans="1:6" x14ac:dyDescent="0.45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6" x14ac:dyDescent="0.45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6" x14ac:dyDescent="0.45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6" x14ac:dyDescent="0.45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6" x14ac:dyDescent="0.45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6" x14ac:dyDescent="0.45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9"/>
  <sheetViews>
    <sheetView workbookViewId="0">
      <selection activeCell="G5" sqref="G5"/>
    </sheetView>
  </sheetViews>
  <sheetFormatPr defaultRowHeight="14.25" x14ac:dyDescent="0.45"/>
  <cols>
    <col min="1" max="1" width="15.1328125" customWidth="1"/>
    <col min="4" max="4" width="19" customWidth="1"/>
  </cols>
  <sheetData>
    <row r="1" spans="1:7" x14ac:dyDescent="0.45">
      <c r="A1" t="s">
        <v>24</v>
      </c>
      <c r="B1" t="s">
        <v>25</v>
      </c>
      <c r="C1" t="s">
        <v>26</v>
      </c>
    </row>
    <row r="3" spans="1:7" x14ac:dyDescent="0.45">
      <c r="A3">
        <v>490</v>
      </c>
      <c r="C3">
        <v>-710</v>
      </c>
    </row>
    <row r="4" spans="1:7" x14ac:dyDescent="0.45">
      <c r="A4">
        <v>500</v>
      </c>
      <c r="B4">
        <v>3.44</v>
      </c>
      <c r="C4">
        <v>-620</v>
      </c>
    </row>
    <row r="5" spans="1:7" x14ac:dyDescent="0.45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 x14ac:dyDescent="0.45">
      <c r="A6">
        <v>520</v>
      </c>
      <c r="B6">
        <v>4.4000000000000004</v>
      </c>
      <c r="C6">
        <v>-80</v>
      </c>
    </row>
    <row r="7" spans="1:7" x14ac:dyDescent="0.45">
      <c r="A7">
        <v>534.29999999999995</v>
      </c>
      <c r="B7">
        <v>2.2200000000000002</v>
      </c>
      <c r="C7">
        <v>150</v>
      </c>
    </row>
    <row r="8" spans="1:7" x14ac:dyDescent="0.45">
      <c r="A8">
        <v>540</v>
      </c>
      <c r="B8">
        <v>1.8</v>
      </c>
      <c r="C8">
        <v>150</v>
      </c>
    </row>
    <row r="9" spans="1:7" x14ac:dyDescent="0.45">
      <c r="A9">
        <v>550</v>
      </c>
      <c r="B9">
        <v>1.42</v>
      </c>
      <c r="C9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Foglio1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2026-05-06T19:15:10Z</dcterms:modified>
  <cp:category/>
  <cp:contentStatus/>
</cp:coreProperties>
</file>