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770" documentId="8_{34F8618C-3BC8-4D1E-A580-8499E5AA5FF8}" xr6:coauthVersionLast="47" xr6:coauthVersionMax="47" xr10:uidLastSave="{070CFC06-9C8F-4F9D-95EF-55E3BD663ECA}"/>
  <bookViews>
    <workbookView xWindow="-98" yWindow="-98" windowWidth="21795" windowHeight="12975" activeTab="3" xr2:uid="{84DCF574-2E35-45F1-915E-7E47BD9768D8}"/>
  </bookViews>
  <sheets>
    <sheet name="Aria (tubo aperto)" sheetId="1" r:id="rId1"/>
    <sheet name="Ventri e nodi" sheetId="6" r:id="rId2"/>
    <sheet name="Aria (tubo chiuso)" sheetId="2" r:id="rId3"/>
    <sheet name="Argon e Kripton" sheetId="3" r:id="rId4"/>
    <sheet name="Onde quadre-riflessione" sheetId="4" r:id="rId5"/>
    <sheet name="Punto 5" sheetId="5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5" l="1"/>
  <c r="C19" i="5"/>
  <c r="C18" i="5"/>
  <c r="C17" i="5"/>
  <c r="C16" i="5"/>
  <c r="C15" i="5"/>
  <c r="E2" i="6"/>
  <c r="F5" i="6"/>
  <c r="F4" i="6"/>
  <c r="F3" i="6"/>
  <c r="F2" i="6"/>
  <c r="F6" i="6" s="1"/>
  <c r="F7" i="6" s="1"/>
  <c r="G5" i="5"/>
  <c r="E3" i="4"/>
  <c r="E4" i="4"/>
  <c r="E5" i="4"/>
  <c r="E6" i="4"/>
  <c r="E7" i="4"/>
  <c r="E8" i="4"/>
  <c r="E2" i="4"/>
  <c r="D8" i="4"/>
  <c r="D3" i="4"/>
  <c r="D4" i="4"/>
  <c r="D5" i="4"/>
  <c r="D6" i="4"/>
  <c r="D7" i="4"/>
  <c r="D2" i="4"/>
</calcChain>
</file>

<file path=xl/sharedStrings.xml><?xml version="1.0" encoding="utf-8"?>
<sst xmlns="http://schemas.openxmlformats.org/spreadsheetml/2006/main" count="64" uniqueCount="40">
  <si>
    <t>n</t>
  </si>
  <si>
    <t>Frequenza (hz)</t>
  </si>
  <si>
    <t>Incertezza (hz)</t>
  </si>
  <si>
    <t>D diametro del tubo aperto</t>
  </si>
  <si>
    <t>n=4</t>
  </si>
  <si>
    <t>Ventri</t>
  </si>
  <si>
    <t>Nodi</t>
  </si>
  <si>
    <t>λ_n teorica</t>
  </si>
  <si>
    <t>80 cm</t>
  </si>
  <si>
    <t>55 cm</t>
  </si>
  <si>
    <t>65 cm</t>
  </si>
  <si>
    <t>x</t>
  </si>
  <si>
    <t>Delta T_1</t>
  </si>
  <si>
    <t>Delta T_2</t>
  </si>
  <si>
    <t>v_1</t>
  </si>
  <si>
    <t>v_2</t>
  </si>
  <si>
    <t>incertezza su Δt</t>
  </si>
  <si>
    <t>0,1 ms</t>
  </si>
  <si>
    <t>Frequenza hz</t>
  </si>
  <si>
    <t>Ampiezza  V</t>
  </si>
  <si>
    <t>Dt micro s</t>
  </si>
  <si>
    <t>Incertezza (m)</t>
  </si>
  <si>
    <t>Lunghezza tubo (m)</t>
  </si>
  <si>
    <t>Temperatura stanza (k)</t>
  </si>
  <si>
    <t>Massa molare aria (g/mol)</t>
  </si>
  <si>
    <t>Incertezza (g/mol)</t>
  </si>
  <si>
    <t>γ</t>
  </si>
  <si>
    <t>R gas ideale</t>
  </si>
  <si>
    <t>Incertezza temperatura (k)</t>
  </si>
  <si>
    <t>λ_n/2 osservata</t>
  </si>
  <si>
    <t>Media</t>
  </si>
  <si>
    <t>λ_n sperimentale</t>
  </si>
  <si>
    <t>V suono (m/s)</t>
  </si>
  <si>
    <t>Posizione teorica (m)</t>
  </si>
  <si>
    <t>Distanza (m)</t>
  </si>
  <si>
    <t>Argon</t>
  </si>
  <si>
    <t>Kripton</t>
  </si>
  <si>
    <t>L (m)</t>
  </si>
  <si>
    <t>T (K)</t>
  </si>
  <si>
    <t>Massa molare (kg/mol)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</si>
</sst>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#,##0.000000000"/>
    <numFmt numFmtId="166" formatCode="#,##0.00000"/>
    <numFmt numFmtId="167" formatCode="0.000"/>
  </numFmts>
  <fonts count="4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57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2" borderId="1" xfId="0" applyFill="1" applyBorder="1"/>
    <xf numFmtId="0" fontId="0" fillId="0" borderId="2" xfId="0" applyBorder="1"/>
    <xf numFmtId="0" fontId="0" fillId="2" borderId="2" xfId="0" applyFill="1" applyBorder="1"/>
    <xf numFmtId="0" fontId="0" fillId="0" borderId="3" xfId="0" applyBorder="1"/>
    <xf numFmtId="0" fontId="0" fillId="2" borderId="4" xfId="0" applyFill="1" applyBorder="1"/>
    <xf numFmtId="0" fontId="0" fillId="2" borderId="6" xfId="0" applyFill="1" applyBorder="1"/>
    <xf numFmtId="0" fontId="0" fillId="0" borderId="7" xfId="0" applyBorder="1"/>
    <xf numFmtId="0" fontId="0" fillId="3" borderId="4" xfId="0" applyFill="1" applyBorder="1"/>
    <xf numFmtId="0" fontId="0" fillId="3" borderId="5" xfId="0" applyFill="1" applyBorder="1"/>
    <xf numFmtId="0" fontId="0" fillId="0" borderId="8" xfId="0" applyBorder="1"/>
    <xf numFmtId="0" fontId="0" fillId="0" borderId="4" xfId="0" applyBorder="1"/>
    <xf numFmtId="0" fontId="0" fillId="3" borderId="10" xfId="0" applyFill="1" applyBorder="1"/>
    <xf numFmtId="0" fontId="0" fillId="0" borderId="9" xfId="0" applyBorder="1"/>
    <xf numFmtId="167" fontId="0" fillId="0" borderId="11" xfId="0" applyNumberFormat="1" applyBorder="1"/>
    <xf numFmtId="167" fontId="0" fillId="0" borderId="10" xfId="0" applyNumberFormat="1" applyBorder="1"/>
    <xf numFmtId="0" fontId="0" fillId="0" borderId="5" xfId="0" applyBorder="1"/>
    <xf numFmtId="166" fontId="3" fillId="0" borderId="8" xfId="0" applyNumberFormat="1" applyFont="1" applyBorder="1" applyAlignment="1">
      <alignment vertical="center"/>
    </xf>
    <xf numFmtId="0" fontId="0" fillId="2" borderId="8" xfId="0" applyFill="1" applyBorder="1"/>
    <xf numFmtId="0" fontId="0" fillId="0" borderId="6" xfId="0" applyBorder="1"/>
    <xf numFmtId="12" fontId="0" fillId="0" borderId="8" xfId="1" applyNumberFormat="1" applyFont="1" applyBorder="1"/>
    <xf numFmtId="12" fontId="0" fillId="0" borderId="8" xfId="0" applyNumberFormat="1" applyBorder="1"/>
    <xf numFmtId="12" fontId="0" fillId="0" borderId="6" xfId="0" applyNumberFormat="1" applyBorder="1"/>
    <xf numFmtId="0" fontId="0" fillId="3" borderId="4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67" fontId="0" fillId="0" borderId="9" xfId="0" applyNumberFormat="1" applyBorder="1"/>
    <xf numFmtId="167" fontId="0" fillId="0" borderId="5" xfId="0" applyNumberFormat="1" applyBorder="1"/>
    <xf numFmtId="167" fontId="0" fillId="0" borderId="7" xfId="0" applyNumberFormat="1" applyBorder="1"/>
    <xf numFmtId="167" fontId="0" fillId="0" borderId="0" xfId="0" applyNumberFormat="1" applyBorder="1"/>
    <xf numFmtId="0" fontId="0" fillId="0" borderId="0" xfId="0" applyBorder="1"/>
    <xf numFmtId="12" fontId="0" fillId="0" borderId="4" xfId="0" applyNumberFormat="1" applyBorder="1"/>
    <xf numFmtId="0" fontId="0" fillId="0" borderId="0" xfId="0" applyFill="1"/>
    <xf numFmtId="0" fontId="0" fillId="2" borderId="10" xfId="0" applyFill="1" applyBorder="1"/>
    <xf numFmtId="0" fontId="0" fillId="3" borderId="8" xfId="0" applyFill="1" applyBorder="1"/>
    <xf numFmtId="0" fontId="0" fillId="3" borderId="6" xfId="0" applyFill="1" applyBorder="1"/>
    <xf numFmtId="0" fontId="0" fillId="0" borderId="11" xfId="0" applyBorder="1"/>
    <xf numFmtId="0" fontId="0" fillId="5" borderId="13" xfId="0" applyFill="1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2" xfId="0" applyFill="1" applyBorder="1"/>
    <xf numFmtId="0" fontId="0" fillId="3" borderId="2" xfId="0" applyFill="1" applyBorder="1"/>
    <xf numFmtId="0" fontId="0" fillId="3" borderId="3" xfId="0" applyFill="1" applyBorder="1"/>
    <xf numFmtId="0" fontId="1" fillId="2" borderId="2" xfId="0" applyFont="1" applyFill="1" applyBorder="1"/>
    <xf numFmtId="165" fontId="1" fillId="0" borderId="3" xfId="0" applyNumberFormat="1" applyFont="1" applyBorder="1"/>
    <xf numFmtId="0" fontId="0" fillId="3" borderId="13" xfId="0" applyFill="1" applyBorder="1"/>
    <xf numFmtId="0" fontId="0" fillId="3" borderId="15" xfId="0" applyFill="1" applyBorder="1"/>
  </cellXfs>
  <cellStyles count="2">
    <cellStyle name="Migliaia" xfId="1" builtinId="3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12"/>
  <sheetViews>
    <sheetView topLeftCell="B1" workbookViewId="0">
      <selection activeCell="C30" sqref="C30"/>
    </sheetView>
  </sheetViews>
  <sheetFormatPr defaultRowHeight="14.2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 ht="14.65" thickBot="1">
      <c r="A1" s="1" t="s">
        <v>0</v>
      </c>
      <c r="B1" s="1" t="s">
        <v>1</v>
      </c>
      <c r="C1" s="1" t="s">
        <v>2</v>
      </c>
      <c r="D1" s="9" t="s">
        <v>3</v>
      </c>
      <c r="E1" s="5" t="s">
        <v>23</v>
      </c>
    </row>
    <row r="2" spans="1:5">
      <c r="A2" s="2">
        <v>1</v>
      </c>
      <c r="B2" s="15">
        <v>190.1</v>
      </c>
      <c r="C2" s="20">
        <v>3.5</v>
      </c>
      <c r="D2" s="14">
        <v>3.5000000000000003E-2</v>
      </c>
      <c r="E2" s="6">
        <v>296.14999999999998</v>
      </c>
    </row>
    <row r="3" spans="1:5">
      <c r="A3" s="2">
        <v>2</v>
      </c>
      <c r="B3" s="14">
        <v>381</v>
      </c>
      <c r="C3" s="17">
        <v>3.5</v>
      </c>
      <c r="D3" s="22" t="s">
        <v>21</v>
      </c>
      <c r="E3" s="7" t="s">
        <v>28</v>
      </c>
    </row>
    <row r="4" spans="1:5">
      <c r="A4" s="2">
        <v>3</v>
      </c>
      <c r="B4" s="14">
        <v>561</v>
      </c>
      <c r="C4" s="17">
        <v>4</v>
      </c>
      <c r="D4" s="14">
        <v>5.0000000000000001E-3</v>
      </c>
      <c r="E4" s="6">
        <v>0.5</v>
      </c>
    </row>
    <row r="5" spans="1:5">
      <c r="A5" s="2">
        <v>4</v>
      </c>
      <c r="B5" s="14">
        <v>760.2</v>
      </c>
      <c r="C5" s="17">
        <v>4</v>
      </c>
      <c r="D5" s="22" t="s">
        <v>22</v>
      </c>
      <c r="E5" s="7" t="s">
        <v>24</v>
      </c>
    </row>
    <row r="6" spans="1:5" ht="14.65" thickBot="1">
      <c r="A6" s="2">
        <v>5</v>
      </c>
      <c r="B6" s="23">
        <v>935.6</v>
      </c>
      <c r="C6" s="11">
        <v>4</v>
      </c>
      <c r="D6" s="14">
        <v>0.9</v>
      </c>
      <c r="E6" s="6">
        <v>2.8964699999999999E-2</v>
      </c>
    </row>
    <row r="7" spans="1:5">
      <c r="D7" s="22" t="s">
        <v>21</v>
      </c>
      <c r="E7" s="7" t="s">
        <v>25</v>
      </c>
    </row>
    <row r="8" spans="1:5" ht="14.65" thickBot="1">
      <c r="D8" s="23">
        <v>0.01</v>
      </c>
      <c r="E8" s="6">
        <v>5.0000000000000001E-4</v>
      </c>
    </row>
    <row r="9" spans="1:5">
      <c r="E9" s="7" t="s">
        <v>26</v>
      </c>
    </row>
    <row r="10" spans="1:5">
      <c r="E10" s="6">
        <v>1.4</v>
      </c>
    </row>
    <row r="11" spans="1:5">
      <c r="E11" s="53" t="s">
        <v>27</v>
      </c>
    </row>
    <row r="12" spans="1:5" ht="14.65" thickBot="1">
      <c r="E12" s="54">
        <v>8.3144626180000003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G11"/>
  <sheetViews>
    <sheetView workbookViewId="0">
      <selection activeCell="H15" sqref="H15"/>
    </sheetView>
  </sheetViews>
  <sheetFormatPr defaultRowHeight="14.25"/>
  <cols>
    <col min="1" max="1" width="16.19921875" bestFit="1" customWidth="1"/>
    <col min="2" max="2" width="8.6640625" bestFit="1" customWidth="1"/>
    <col min="3" max="3" width="10.59765625" bestFit="1" customWidth="1"/>
    <col min="4" max="4" width="11.796875" bestFit="1" customWidth="1"/>
    <col min="5" max="5" width="14" bestFit="1" customWidth="1"/>
    <col min="6" max="6" width="12.86328125" bestFit="1" customWidth="1"/>
    <col min="7" max="7" width="12.19921875" bestFit="1" customWidth="1"/>
    <col min="8" max="8" width="10" bestFit="1" customWidth="1"/>
    <col min="9" max="9" width="17.265625" bestFit="1" customWidth="1"/>
  </cols>
  <sheetData>
    <row r="1" spans="1:7" ht="14.65" thickBot="1">
      <c r="A1" s="4" t="s">
        <v>4</v>
      </c>
      <c r="B1" s="12" t="s">
        <v>0</v>
      </c>
      <c r="C1" s="16" t="s">
        <v>34</v>
      </c>
      <c r="D1" s="13" t="s">
        <v>21</v>
      </c>
      <c r="E1" s="55" t="s">
        <v>7</v>
      </c>
      <c r="F1" s="56" t="s">
        <v>29</v>
      </c>
      <c r="G1" s="9" t="s">
        <v>32</v>
      </c>
    </row>
    <row r="2" spans="1:7">
      <c r="A2" s="27" t="s">
        <v>5</v>
      </c>
      <c r="B2" s="35">
        <v>1.5</v>
      </c>
      <c r="C2" s="19">
        <v>0.34499999999999997</v>
      </c>
      <c r="D2" s="20">
        <v>0.05</v>
      </c>
      <c r="E2" s="34">
        <f>G2/G4</f>
        <v>0.45381056300973421</v>
      </c>
      <c r="F2" s="30">
        <f>C4-C3</f>
        <v>0.22799999999999998</v>
      </c>
      <c r="G2" s="21">
        <v>344.98678999999998</v>
      </c>
    </row>
    <row r="3" spans="1:7">
      <c r="A3" s="28"/>
      <c r="B3" s="25">
        <v>2.5</v>
      </c>
      <c r="C3" s="33">
        <v>0.56000000000000005</v>
      </c>
      <c r="D3" s="17">
        <v>0.05</v>
      </c>
      <c r="E3" s="34"/>
      <c r="F3" s="30">
        <f>C7-C6</f>
        <v>0.22500000000000003</v>
      </c>
      <c r="G3" s="22" t="s">
        <v>1</v>
      </c>
    </row>
    <row r="4" spans="1:7" ht="14.65" thickBot="1">
      <c r="A4" s="29"/>
      <c r="B4" s="26">
        <v>3.5</v>
      </c>
      <c r="C4" s="18">
        <v>0.78800000000000003</v>
      </c>
      <c r="D4" s="11">
        <v>0.05</v>
      </c>
      <c r="E4" s="34"/>
      <c r="F4" s="30">
        <f>C6-C5</f>
        <v>0.22</v>
      </c>
      <c r="G4" s="23">
        <v>760.2</v>
      </c>
    </row>
    <row r="5" spans="1:7" ht="14.65" thickBot="1">
      <c r="A5" s="27" t="s">
        <v>6</v>
      </c>
      <c r="B5" s="25">
        <v>1</v>
      </c>
      <c r="C5" s="33">
        <v>0.23</v>
      </c>
      <c r="D5" s="17">
        <v>0.05</v>
      </c>
      <c r="E5" s="14"/>
      <c r="F5" s="30">
        <f>C3-C2</f>
        <v>0.21500000000000008</v>
      </c>
    </row>
    <row r="6" spans="1:7">
      <c r="A6" s="28"/>
      <c r="B6" s="25">
        <v>2</v>
      </c>
      <c r="C6" s="33">
        <v>0.45</v>
      </c>
      <c r="D6" s="17">
        <v>0.05</v>
      </c>
      <c r="E6" s="9" t="s">
        <v>30</v>
      </c>
      <c r="F6" s="31">
        <f>AVERAGE(F2:F5)</f>
        <v>0.22200000000000003</v>
      </c>
    </row>
    <row r="7" spans="1:7" ht="14.65" thickBot="1">
      <c r="A7" s="29"/>
      <c r="B7" s="26">
        <v>3</v>
      </c>
      <c r="C7" s="18">
        <v>0.67500000000000004</v>
      </c>
      <c r="D7" s="11">
        <v>0.05</v>
      </c>
      <c r="E7" s="10" t="s">
        <v>31</v>
      </c>
      <c r="F7" s="32">
        <f>2*F6</f>
        <v>0.44400000000000006</v>
      </c>
    </row>
    <row r="11" spans="1:7">
      <c r="C11" s="3"/>
    </row>
  </sheetData>
  <mergeCells count="2">
    <mergeCell ref="A2:A4"/>
    <mergeCell ref="A5: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A1:H7"/>
  <sheetViews>
    <sheetView workbookViewId="0">
      <selection activeCell="H17" sqref="H17"/>
    </sheetView>
  </sheetViews>
  <sheetFormatPr defaultRowHeight="14.25"/>
  <cols>
    <col min="2" max="2" width="13" customWidth="1"/>
    <col min="3" max="3" width="13.59765625" customWidth="1"/>
    <col min="4" max="4" width="12.19921875" bestFit="1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1:8" ht="14.65" thickBot="1">
      <c r="A1" s="15"/>
      <c r="B1" s="46" t="s">
        <v>8</v>
      </c>
      <c r="C1" s="45"/>
      <c r="D1" s="44" t="s">
        <v>10</v>
      </c>
      <c r="E1" s="45"/>
      <c r="F1" s="15"/>
      <c r="G1" s="44" t="s">
        <v>9</v>
      </c>
      <c r="H1" s="45"/>
    </row>
    <row r="2" spans="1:8" ht="14.65" thickBot="1">
      <c r="A2" s="50" t="s">
        <v>0</v>
      </c>
      <c r="B2" s="48" t="s">
        <v>1</v>
      </c>
      <c r="C2" s="49" t="s">
        <v>2</v>
      </c>
      <c r="D2" s="47" t="s">
        <v>1</v>
      </c>
      <c r="E2" s="49" t="s">
        <v>2</v>
      </c>
      <c r="F2" s="47" t="s">
        <v>0</v>
      </c>
      <c r="G2" s="47" t="s">
        <v>1</v>
      </c>
      <c r="H2" s="49" t="s">
        <v>2</v>
      </c>
    </row>
    <row r="3" spans="1:8">
      <c r="A3" s="51">
        <v>1</v>
      </c>
      <c r="B3" s="34">
        <v>319.2</v>
      </c>
      <c r="C3" s="17">
        <v>5</v>
      </c>
      <c r="D3" s="14">
        <v>377</v>
      </c>
      <c r="E3" s="17">
        <v>5</v>
      </c>
      <c r="F3" s="51">
        <v>1</v>
      </c>
      <c r="G3" s="34">
        <v>760</v>
      </c>
      <c r="H3" s="17">
        <v>5</v>
      </c>
    </row>
    <row r="4" spans="1:8">
      <c r="A4" s="51">
        <v>3</v>
      </c>
      <c r="B4" s="34">
        <v>534.29999999999995</v>
      </c>
      <c r="C4" s="17">
        <v>5</v>
      </c>
      <c r="D4" s="14">
        <v>632</v>
      </c>
      <c r="E4" s="17">
        <v>5</v>
      </c>
      <c r="F4" s="51">
        <v>3</v>
      </c>
      <c r="G4" s="34">
        <v>1068</v>
      </c>
      <c r="H4" s="17">
        <v>5</v>
      </c>
    </row>
    <row r="5" spans="1:8">
      <c r="A5" s="51">
        <v>5</v>
      </c>
      <c r="B5" s="34">
        <v>741.2</v>
      </c>
      <c r="C5" s="17">
        <v>6</v>
      </c>
      <c r="D5" s="14">
        <v>884</v>
      </c>
      <c r="E5" s="17">
        <v>6</v>
      </c>
      <c r="F5" s="51">
        <v>7</v>
      </c>
      <c r="G5" s="34">
        <v>1688</v>
      </c>
      <c r="H5" s="17">
        <v>6</v>
      </c>
    </row>
    <row r="6" spans="1:8">
      <c r="A6" s="51">
        <v>7</v>
      </c>
      <c r="B6" s="34">
        <v>954.1</v>
      </c>
      <c r="C6" s="17">
        <v>6</v>
      </c>
      <c r="D6" s="14">
        <v>1146</v>
      </c>
      <c r="E6" s="17">
        <v>6</v>
      </c>
      <c r="F6" s="51">
        <v>9</v>
      </c>
      <c r="G6" s="34">
        <v>1990</v>
      </c>
      <c r="H6" s="17">
        <v>6</v>
      </c>
    </row>
    <row r="7" spans="1:8" ht="14.65" thickBot="1">
      <c r="A7" s="52">
        <v>9</v>
      </c>
      <c r="B7" s="40">
        <v>1155.0999999999999</v>
      </c>
      <c r="C7" s="11">
        <v>6</v>
      </c>
      <c r="D7" s="23">
        <v>1404.5</v>
      </c>
      <c r="E7" s="11">
        <v>6</v>
      </c>
      <c r="F7" s="52">
        <v>11</v>
      </c>
      <c r="G7" s="40">
        <v>2290</v>
      </c>
      <c r="H7" s="11">
        <v>6</v>
      </c>
    </row>
  </sheetData>
  <mergeCells count="3">
    <mergeCell ref="B1:C1"/>
    <mergeCell ref="D1:E1"/>
    <mergeCell ref="G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H7"/>
  <sheetViews>
    <sheetView tabSelected="1" workbookViewId="0">
      <selection activeCell="E14" sqref="E13:E14"/>
    </sheetView>
  </sheetViews>
  <sheetFormatPr defaultRowHeight="14.25"/>
  <cols>
    <col min="2" max="2" width="13" customWidth="1"/>
    <col min="3" max="3" width="14.86328125" customWidth="1"/>
    <col min="4" max="4" width="18.53125" bestFit="1" customWidth="1"/>
    <col min="7" max="7" width="14.3984375" customWidth="1"/>
    <col min="8" max="9" width="18.53125" bestFit="1" customWidth="1"/>
  </cols>
  <sheetData>
    <row r="1" spans="1:8" ht="14.65" thickBot="1">
      <c r="A1" s="41" t="s">
        <v>35</v>
      </c>
      <c r="B1" s="42"/>
      <c r="C1" s="42"/>
      <c r="D1" s="43"/>
      <c r="E1" s="41" t="s">
        <v>36</v>
      </c>
      <c r="F1" s="42"/>
      <c r="G1" s="42"/>
      <c r="H1" s="43"/>
    </row>
    <row r="2" spans="1:8">
      <c r="A2" s="9" t="s">
        <v>0</v>
      </c>
      <c r="B2" s="37" t="s">
        <v>1</v>
      </c>
      <c r="C2" s="37" t="s">
        <v>2</v>
      </c>
      <c r="D2" s="5" t="s">
        <v>37</v>
      </c>
      <c r="E2" s="9" t="s">
        <v>0</v>
      </c>
      <c r="F2" s="37" t="s">
        <v>1</v>
      </c>
      <c r="G2" s="37" t="s">
        <v>2</v>
      </c>
      <c r="H2" s="5" t="s">
        <v>37</v>
      </c>
    </row>
    <row r="3" spans="1:8" ht="14.65" thickBot="1">
      <c r="A3" s="38">
        <v>1</v>
      </c>
      <c r="B3" s="34">
        <v>440.2</v>
      </c>
      <c r="C3" s="34">
        <v>2</v>
      </c>
      <c r="D3" s="6">
        <v>1.45</v>
      </c>
      <c r="E3" s="38">
        <v>1</v>
      </c>
      <c r="F3" s="34">
        <v>314.5</v>
      </c>
      <c r="G3" s="34">
        <v>3</v>
      </c>
      <c r="H3" s="6">
        <v>1.45</v>
      </c>
    </row>
    <row r="4" spans="1:8">
      <c r="A4" s="38">
        <v>2</v>
      </c>
      <c r="B4" s="34">
        <v>549.5</v>
      </c>
      <c r="C4" s="34">
        <v>2</v>
      </c>
      <c r="D4" s="5" t="s">
        <v>38</v>
      </c>
      <c r="E4" s="38">
        <v>2</v>
      </c>
      <c r="F4" s="34">
        <v>400</v>
      </c>
      <c r="G4" s="34">
        <v>3</v>
      </c>
      <c r="H4" s="5" t="s">
        <v>38</v>
      </c>
    </row>
    <row r="5" spans="1:8" ht="14.65" thickBot="1">
      <c r="A5" s="38">
        <v>3</v>
      </c>
      <c r="B5" s="34">
        <v>659.5</v>
      </c>
      <c r="C5" s="34">
        <v>2</v>
      </c>
      <c r="D5" s="6">
        <v>296.64999999999998</v>
      </c>
      <c r="E5" s="38">
        <v>3</v>
      </c>
      <c r="F5" s="34">
        <v>500</v>
      </c>
      <c r="G5" s="34">
        <v>1</v>
      </c>
      <c r="H5" s="6">
        <v>296.64999999999998</v>
      </c>
    </row>
    <row r="6" spans="1:8">
      <c r="A6" s="38">
        <v>4</v>
      </c>
      <c r="B6" s="34">
        <v>769.5</v>
      </c>
      <c r="C6" s="34">
        <v>2</v>
      </c>
      <c r="D6" s="7" t="s">
        <v>39</v>
      </c>
      <c r="E6" s="38">
        <v>4</v>
      </c>
      <c r="F6" s="34">
        <v>600</v>
      </c>
      <c r="G6" s="34">
        <v>1</v>
      </c>
      <c r="H6" s="5" t="s">
        <v>39</v>
      </c>
    </row>
    <row r="7" spans="1:8" ht="14.65" thickBot="1">
      <c r="A7" s="39">
        <v>5</v>
      </c>
      <c r="B7" s="40">
        <v>882</v>
      </c>
      <c r="C7" s="40">
        <v>2</v>
      </c>
      <c r="D7" s="8">
        <v>3.9947999999999997E-2</v>
      </c>
      <c r="E7" s="39">
        <v>5</v>
      </c>
      <c r="F7" s="40">
        <v>700</v>
      </c>
      <c r="G7" s="40">
        <v>1</v>
      </c>
      <c r="H7" s="8">
        <v>8.3797999999999997E-2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G8"/>
  <sheetViews>
    <sheetView workbookViewId="0">
      <selection activeCell="F30" sqref="F30"/>
    </sheetView>
  </sheetViews>
  <sheetFormatPr defaultRowHeight="14.25"/>
  <cols>
    <col min="6" max="6" width="13" bestFit="1" customWidth="1"/>
  </cols>
  <sheetData>
    <row r="1" spans="1:7">
      <c r="A1" s="2" t="s">
        <v>11</v>
      </c>
      <c r="B1" s="2" t="s">
        <v>12</v>
      </c>
      <c r="C1" s="2" t="s">
        <v>13</v>
      </c>
      <c r="D1" s="2" t="s">
        <v>14</v>
      </c>
      <c r="E1" s="2" t="s">
        <v>15</v>
      </c>
      <c r="F1" s="2" t="s">
        <v>16</v>
      </c>
      <c r="G1" s="36"/>
    </row>
    <row r="2" spans="1:7">
      <c r="A2">
        <v>1.57</v>
      </c>
      <c r="B2">
        <v>4.4999999999999997E-3</v>
      </c>
      <c r="C2">
        <v>4.4999999999999997E-3</v>
      </c>
      <c r="D2">
        <f t="shared" ref="D2:D8" si="0">A2/B2</f>
        <v>348.88888888888891</v>
      </c>
      <c r="E2">
        <f>A2/C2</f>
        <v>348.88888888888891</v>
      </c>
      <c r="F2" t="s">
        <v>17</v>
      </c>
    </row>
    <row r="3" spans="1:7">
      <c r="A3">
        <v>1.37</v>
      </c>
      <c r="B3">
        <v>3.9199999999999999E-3</v>
      </c>
      <c r="C3">
        <v>3.9199999999999999E-3</v>
      </c>
      <c r="D3">
        <f t="shared" si="0"/>
        <v>349.48979591836741</v>
      </c>
      <c r="E3">
        <f t="shared" ref="E3:E8" si="1">A3/C3</f>
        <v>349.48979591836741</v>
      </c>
    </row>
    <row r="4" spans="1:7">
      <c r="A4">
        <v>1.17</v>
      </c>
      <c r="B4">
        <v>3.3600000000000001E-3</v>
      </c>
      <c r="C4">
        <v>3.3500000000000001E-3</v>
      </c>
      <c r="D4">
        <f t="shared" si="0"/>
        <v>348.21428571428567</v>
      </c>
      <c r="E4">
        <f t="shared" si="1"/>
        <v>349.25373134328356</v>
      </c>
    </row>
    <row r="5" spans="1:7">
      <c r="A5">
        <v>0.97</v>
      </c>
      <c r="B5">
        <v>2.7899999999999999E-3</v>
      </c>
      <c r="C5">
        <v>2.7699999999999999E-3</v>
      </c>
      <c r="D5">
        <f t="shared" si="0"/>
        <v>347.67025089605733</v>
      </c>
      <c r="E5">
        <f t="shared" si="1"/>
        <v>350.18050541516249</v>
      </c>
    </row>
    <row r="6" spans="1:7">
      <c r="A6">
        <v>0.77</v>
      </c>
      <c r="B6">
        <v>2.2000000000000001E-3</v>
      </c>
      <c r="C6">
        <v>2.2000000000000001E-3</v>
      </c>
      <c r="D6">
        <f t="shared" si="0"/>
        <v>350</v>
      </c>
      <c r="E6">
        <f t="shared" si="1"/>
        <v>350</v>
      </c>
    </row>
    <row r="7" spans="1:7">
      <c r="A7">
        <v>0.56999999999999995</v>
      </c>
      <c r="B7">
        <v>1.6199999999999999E-3</v>
      </c>
      <c r="C7">
        <v>1.6199999999999999E-3</v>
      </c>
      <c r="D7">
        <f t="shared" si="0"/>
        <v>351.85185185185185</v>
      </c>
      <c r="E7">
        <f t="shared" si="1"/>
        <v>351.85185185185185</v>
      </c>
    </row>
    <row r="8" spans="1:7">
      <c r="A8">
        <v>0.37</v>
      </c>
      <c r="B8">
        <v>1.0499999999999999E-3</v>
      </c>
      <c r="C8">
        <v>1.0399999999999999E-3</v>
      </c>
      <c r="D8">
        <f t="shared" si="0"/>
        <v>352.38095238095241</v>
      </c>
      <c r="E8">
        <f t="shared" si="1"/>
        <v>355.76923076923077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G20"/>
  <sheetViews>
    <sheetView workbookViewId="0">
      <selection activeCell="D20" sqref="D20"/>
    </sheetView>
  </sheetViews>
  <sheetFormatPr defaultRowHeight="14.25"/>
  <cols>
    <col min="1" max="1" width="15.1328125" customWidth="1"/>
    <col min="4" max="4" width="19" customWidth="1"/>
  </cols>
  <sheetData>
    <row r="1" spans="1:7">
      <c r="A1" t="s">
        <v>18</v>
      </c>
      <c r="B1" t="s">
        <v>19</v>
      </c>
      <c r="C1" t="s">
        <v>20</v>
      </c>
    </row>
    <row r="3" spans="1:7">
      <c r="A3">
        <v>490</v>
      </c>
      <c r="C3">
        <v>-710</v>
      </c>
    </row>
    <row r="4" spans="1:7">
      <c r="A4">
        <v>500</v>
      </c>
      <c r="B4">
        <v>3.44</v>
      </c>
      <c r="C4">
        <v>-620</v>
      </c>
    </row>
    <row r="5" spans="1:7">
      <c r="A5">
        <v>510</v>
      </c>
      <c r="B5">
        <v>3.22</v>
      </c>
      <c r="C5">
        <v>-460</v>
      </c>
      <c r="G5">
        <f>(730*490)*2*PI()*10^-6</f>
        <v>2.247495384378138</v>
      </c>
    </row>
    <row r="6" spans="1:7">
      <c r="A6">
        <v>520</v>
      </c>
      <c r="B6">
        <v>4.4000000000000004</v>
      </c>
      <c r="C6">
        <v>-80</v>
      </c>
    </row>
    <row r="7" spans="1:7">
      <c r="A7">
        <v>534.29999999999995</v>
      </c>
      <c r="B7">
        <v>2.2200000000000002</v>
      </c>
      <c r="C7">
        <v>150</v>
      </c>
    </row>
    <row r="8" spans="1:7">
      <c r="A8">
        <v>540</v>
      </c>
      <c r="B8">
        <v>1.8</v>
      </c>
      <c r="C8">
        <v>150</v>
      </c>
    </row>
    <row r="9" spans="1:7">
      <c r="A9">
        <v>550</v>
      </c>
      <c r="B9">
        <v>1.42</v>
      </c>
      <c r="C9">
        <v>180</v>
      </c>
    </row>
    <row r="13" spans="1:7" ht="14.65" thickBot="1"/>
    <row r="14" spans="1:7">
      <c r="A14" s="9" t="s">
        <v>32</v>
      </c>
      <c r="B14" s="12" t="s">
        <v>0</v>
      </c>
      <c r="C14" s="13" t="s">
        <v>33</v>
      </c>
    </row>
    <row r="15" spans="1:7">
      <c r="A15" s="21">
        <v>344.98678999999998</v>
      </c>
      <c r="B15" s="14">
        <v>1</v>
      </c>
      <c r="C15" s="17">
        <f>A15/(2*A17)</f>
        <v>0.22690528150486711</v>
      </c>
    </row>
    <row r="16" spans="1:7">
      <c r="A16" s="22" t="s">
        <v>1</v>
      </c>
      <c r="B16" s="24">
        <v>1.5</v>
      </c>
      <c r="C16" s="17">
        <f>3*A15/(4*A17)</f>
        <v>0.34035792225730072</v>
      </c>
    </row>
    <row r="17" spans="1:3" ht="14.65" thickBot="1">
      <c r="A17" s="23">
        <v>760.2</v>
      </c>
      <c r="B17" s="14">
        <v>2</v>
      </c>
      <c r="C17" s="17">
        <f>A15/A17</f>
        <v>0.45381056300973421</v>
      </c>
    </row>
    <row r="18" spans="1:3">
      <c r="B18" s="25">
        <v>2.5</v>
      </c>
      <c r="C18" s="17">
        <f>(5*A15)/(4*A17)</f>
        <v>0.56726320376216777</v>
      </c>
    </row>
    <row r="19" spans="1:3">
      <c r="B19" s="24">
        <v>3</v>
      </c>
      <c r="C19" s="17">
        <f>3*A15/(2*A17)</f>
        <v>0.68071584451460143</v>
      </c>
    </row>
    <row r="20" spans="1:3" ht="14.65" thickBot="1">
      <c r="B20" s="26">
        <v>3.5</v>
      </c>
      <c r="C20" s="11">
        <f>(A15*7)/(4*A17)</f>
        <v>0.79416848526703487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Aria (tubo aperto)</vt:lpstr>
      <vt:lpstr>Ventri e nodi</vt:lpstr>
      <vt:lpstr>Aria (tubo chiuso)</vt:lpstr>
      <vt:lpstr>Argon e Kripton</vt:lpstr>
      <vt:lpstr>Onde quadre-riflessione</vt:lpstr>
      <vt:lpstr>Punto 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2026-05-07T12:10:35Z</dcterms:modified>
  <cp:category/>
  <cp:contentStatus/>
</cp:coreProperties>
</file>