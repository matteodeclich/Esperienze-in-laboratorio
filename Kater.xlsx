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riodi" sheetId="1" state="visible" r:id="rId1"/>
    <sheet name="Intersezione" sheetId="2" state="visible" r:id="rId2"/>
    <sheet name="Caduta libera" sheetId="3" state="visible" r:id="rId3"/>
    <sheet name="Foglio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<sst xmlns="http://schemas.openxmlformats.org/spreadsheetml/2006/main" count="13" uniqueCount="13">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</sst>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none"/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none"/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thin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6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0" borderId="13" numFmtId="0" xfId="0" applyBorder="1">
      <protection hidden="0" locked="1"/>
    </xf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0" borderId="12" numFmtId="0" xfId="0" applyBorder="1"/>
    <xf fontId="0" fillId="0" borderId="18" numFmtId="0" xfId="0" applyBorder="1"/>
    <xf fontId="0" fillId="2" borderId="19" numFmtId="0" xfId="0" applyFill="1" applyBorder="1"/>
    <xf fontId="0" fillId="2" borderId="11" numFmtId="0" xfId="0" applyFill="1" applyBorder="1"/>
    <xf fontId="0" fillId="2" borderId="20" numFmtId="0" xfId="0" applyFill="1" applyBorder="1"/>
    <xf fontId="0" fillId="0" borderId="21" numFmtId="0" xfId="0" applyBorder="1"/>
    <xf fontId="0" fillId="0" borderId="9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>
      <protection hidden="0" locked="1"/>
    </xf>
    <xf fontId="0" fillId="0" borderId="26" numFmtId="0" xfId="0" applyBorder="1"/>
    <xf fontId="0" fillId="0" borderId="27" numFmtId="0" xfId="0" applyBorder="1"/>
    <xf fontId="0" fillId="0" borderId="28" numFmtId="0" xfId="0" applyBorder="1"/>
    <xf fontId="0" fillId="3" borderId="29" numFmtId="0" xfId="0" applyFill="1" applyBorder="1"/>
    <xf fontId="0" fillId="3" borderId="30" numFmtId="0" xfId="0" applyFill="1" applyBorder="1"/>
    <xf fontId="0" fillId="3" borderId="31" numFmtId="0" xfId="0" applyFill="1" applyBorder="1"/>
    <xf fontId="0" fillId="3" borderId="32" numFmtId="0" xfId="0" applyFill="1" applyBorder="1"/>
    <xf fontId="0" fillId="3" borderId="8" numFmtId="0" xfId="0" applyFill="1" applyBorder="1"/>
    <xf fontId="0" fillId="0" borderId="5" numFmtId="0" xfId="0" applyBorder="1">
      <protection hidden="0" locked="1"/>
    </xf>
    <xf fontId="0" fillId="0" borderId="1" numFmtId="165" xfId="0" applyNumberFormat="1" applyBorder="1"/>
    <xf fontId="0" fillId="0" borderId="3" numFmtId="0" xfId="0" applyBorder="1">
      <protection hidden="0" locked="1"/>
    </xf>
    <xf fontId="0" fillId="0" borderId="0" numFmtId="0" xfId="0">
      <protection hidden="0" locked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F1" activeCellId="0" sqref="A1:F1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ht="14.65">
      <c r="A2" s="15">
        <v>0.91500000000000004</v>
      </c>
      <c r="B2" s="16">
        <v>1.9890000000000001</v>
      </c>
      <c r="C2" s="8">
        <v>1.9834000000000001</v>
      </c>
      <c r="D2" s="15">
        <v>0.92000000000000004</v>
      </c>
      <c r="E2" s="5">
        <v>1.9897</v>
      </c>
      <c r="F2" s="8">
        <v>1.9911000000000001</v>
      </c>
      <c r="G2" s="17">
        <v>1.0049999999999999</v>
      </c>
      <c r="H2" s="17">
        <v>8.9999999999999997e-002</v>
      </c>
      <c r="I2" s="18">
        <v>5.0000000000000001e-003</v>
      </c>
    </row>
    <row r="3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>
      <c r="A7" s="19"/>
      <c r="B7" s="5">
        <v>1.9893000000000001</v>
      </c>
      <c r="C7" s="8">
        <v>1.99</v>
      </c>
      <c r="D7" s="19"/>
      <c r="E7" s="5">
        <v>1.9898</v>
      </c>
      <c r="F7" s="8">
        <v>1.9901</v>
      </c>
    </row>
    <row r="8">
      <c r="A8" s="19"/>
      <c r="B8" s="5">
        <v>1.9886999999999999</v>
      </c>
      <c r="C8" s="8">
        <v>1.9866999999999999</v>
      </c>
      <c r="D8" s="19"/>
      <c r="E8" s="5">
        <v>1.99</v>
      </c>
      <c r="F8" s="8">
        <v>1.9899</v>
      </c>
    </row>
    <row r="9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ht="14.6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ht="14.65">
      <c r="A12" s="20" t="s">
        <v>8</v>
      </c>
      <c r="B12" s="21">
        <f>AVERAGE(B2:B11)</f>
        <v>1.9887500000000002</v>
      </c>
      <c r="C12" s="22">
        <f>AVERAGE(C2:C11)</f>
        <v>1.9864999999999999</v>
      </c>
      <c r="D12" s="23" t="s">
        <v>8</v>
      </c>
      <c r="E12" s="24">
        <f>AVERAGE(E2:E11)</f>
        <v>1.9890900000000002</v>
      </c>
      <c r="F12" s="25">
        <f>AVERAGE(F2:F11)</f>
        <v>1.98963</v>
      </c>
    </row>
    <row r="13" ht="14.65">
      <c r="A13" s="26" t="s">
        <v>9</v>
      </c>
      <c r="B13" s="9">
        <f>_xlfn.STDEV.S(B2:B11)</f>
        <v>1.1993053545003578e-003</v>
      </c>
      <c r="C13" s="18">
        <f>_xlfn.STDEV.S(C2:C11)</f>
        <v>2.0965580258021552e-003</v>
      </c>
      <c r="D13" s="27" t="s">
        <v>9</v>
      </c>
      <c r="E13" s="9">
        <f>_xlfn.STDEV.S(E2:E11)</f>
        <v>2.0512597755200563e-003</v>
      </c>
      <c r="F13" s="18">
        <f>_xlfn.STDEV.S(F2:F11)</f>
        <v>2.6234201595118625e-003</v>
      </c>
    </row>
    <row r="14" ht="14.65">
      <c r="A14" s="9" t="s">
        <v>10</v>
      </c>
      <c r="B14" s="17">
        <f>B13/SQRT(10)</f>
        <v>3.7925365302567999e-004</v>
      </c>
      <c r="C14" s="17">
        <f>C13/SQRT(10)</f>
        <v>6.6298986082408758e-004</v>
      </c>
      <c r="D14" s="17" t="s">
        <v>10</v>
      </c>
      <c r="E14" s="17">
        <f>E13/SQRT(10)</f>
        <v>6.4866529633290785e-004</v>
      </c>
      <c r="F14" s="18">
        <f>F13/SQRT(10)</f>
        <v>8.2959829636597285e-004</v>
      </c>
    </row>
    <row r="15">
      <c r="A15" s="15">
        <v>0.91500000000000004</v>
      </c>
      <c r="B15" s="16">
        <v>1.9906999999999999</v>
      </c>
      <c r="C15" s="8">
        <v>1.9875</v>
      </c>
      <c r="D15" s="15">
        <v>0.92000000000000004</v>
      </c>
      <c r="E15" s="5">
        <v>1.9911000000000001</v>
      </c>
      <c r="F15" s="8">
        <v>1.9866999999999999</v>
      </c>
    </row>
    <row r="16">
      <c r="A16" s="19"/>
      <c r="B16" s="5">
        <v>1.9911000000000001</v>
      </c>
      <c r="C16" s="8">
        <v>1.9873000000000001</v>
      </c>
      <c r="D16" s="19"/>
      <c r="E16" s="5">
        <v>1.9863</v>
      </c>
      <c r="F16" s="8">
        <v>1.9923999999999999</v>
      </c>
    </row>
    <row r="17">
      <c r="A17" s="19"/>
      <c r="B17" s="5">
        <v>1.9908999999999999</v>
      </c>
      <c r="C17" s="8">
        <v>1.9894000000000001</v>
      </c>
      <c r="D17" s="19"/>
      <c r="E17" s="5">
        <v>1.9910000000000001</v>
      </c>
      <c r="F17" s="8">
        <v>1.9919</v>
      </c>
    </row>
    <row r="18">
      <c r="A18" s="19"/>
      <c r="B18" s="5">
        <v>1.9919</v>
      </c>
      <c r="C18" s="8">
        <v>1.9890000000000001</v>
      </c>
      <c r="D18" s="19"/>
      <c r="E18" s="5">
        <v>1.9857</v>
      </c>
      <c r="F18" s="8">
        <v>1.9925999999999999</v>
      </c>
    </row>
    <row r="19">
      <c r="A19" s="19"/>
      <c r="B19" s="5">
        <v>1.9908999999999999</v>
      </c>
      <c r="C19" s="8">
        <v>1.9882</v>
      </c>
      <c r="D19" s="19"/>
      <c r="E19" s="5">
        <v>1.9905999999999999</v>
      </c>
      <c r="F19" s="8">
        <v>1.9903999999999999</v>
      </c>
    </row>
    <row r="20">
      <c r="A20" s="19"/>
      <c r="B20" s="5">
        <v>1.9906999999999999</v>
      </c>
      <c r="C20" s="8">
        <v>1.9882</v>
      </c>
      <c r="D20" s="19"/>
      <c r="E20" s="5">
        <v>1.9925999999999999</v>
      </c>
      <c r="F20" s="8">
        <v>1.9904999999999999</v>
      </c>
    </row>
    <row r="21">
      <c r="A21" s="19"/>
      <c r="B21" s="5">
        <v>1.9913000000000001</v>
      </c>
      <c r="C21" s="8">
        <v>1.988</v>
      </c>
      <c r="D21" s="19"/>
      <c r="E21" s="5">
        <v>1.9928999999999999</v>
      </c>
      <c r="F21" s="8">
        <v>1.9907999999999999</v>
      </c>
    </row>
    <row r="22">
      <c r="A22" s="19"/>
      <c r="B22" s="5">
        <v>1.9904999999999999</v>
      </c>
      <c r="C22" s="8">
        <v>1.9886999999999999</v>
      </c>
      <c r="D22" s="19"/>
      <c r="E22" s="5">
        <v>1.9905999999999999</v>
      </c>
      <c r="F22" s="8">
        <v>1.9937</v>
      </c>
    </row>
    <row r="23">
      <c r="A23" s="19"/>
      <c r="B23" s="5">
        <v>1.9905999999999999</v>
      </c>
      <c r="C23" s="8">
        <v>1.9879</v>
      </c>
      <c r="D23" s="19"/>
      <c r="E23" s="5">
        <v>1.982</v>
      </c>
      <c r="F23" s="8">
        <v>1.99</v>
      </c>
    </row>
    <row r="24" ht="14.65">
      <c r="A24" s="19"/>
      <c r="B24" s="5">
        <v>1.9923</v>
      </c>
      <c r="C24" s="8">
        <v>1.9870000000000001</v>
      </c>
      <c r="D24" s="19"/>
      <c r="E24" s="5">
        <v>1.9910000000000001</v>
      </c>
      <c r="F24" s="8">
        <v>1.9839</v>
      </c>
    </row>
    <row r="25" ht="14.65">
      <c r="A25" s="20" t="s">
        <v>8</v>
      </c>
      <c r="B25" s="21">
        <f>AVERAGE(B15:B24)</f>
        <v>1.9910900000000002</v>
      </c>
      <c r="C25" s="22">
        <f>AVERAGE(C15:C24)</f>
        <v>1.9881199999999999</v>
      </c>
      <c r="D25" s="23" t="s">
        <v>8</v>
      </c>
      <c r="E25" s="24">
        <f>AVERAGE(E15:E24)</f>
        <v>1.9893800000000001</v>
      </c>
      <c r="F25" s="25">
        <f>AVERAGE(F15:F24)</f>
        <v>1.9902899999999994</v>
      </c>
    </row>
    <row r="26" ht="14.65">
      <c r="A26" s="26" t="s">
        <v>9</v>
      </c>
      <c r="B26" s="9">
        <f>_xlfn.STDEV.S(B15:B24)</f>
        <v>5.8963265400306707e-004</v>
      </c>
      <c r="C26" s="18">
        <f>_xlfn.STDEV.S(C15:C24)</f>
        <v>7.554248252914698e-004</v>
      </c>
      <c r="D26" s="27" t="s">
        <v>9</v>
      </c>
      <c r="E26" s="9">
        <f>_xlfn.STDEV.S(E15:E24)</f>
        <v>3.5187750393819938e-003</v>
      </c>
      <c r="F26" s="18">
        <f>_xlfn.STDEV.S(F15:F24)</f>
        <v>2.9463536787018665e-003</v>
      </c>
    </row>
    <row r="27">
      <c r="A27" t="s">
        <v>10</v>
      </c>
      <c r="B27">
        <f>B26/SQRT(10)</f>
        <v>1.8645821694596905e-004</v>
      </c>
      <c r="C27">
        <f>C26/SQRT(10)</f>
        <v>2.3888630489558158e-004</v>
      </c>
      <c r="D27" t="s">
        <v>10</v>
      </c>
      <c r="E27">
        <f>E26/SQRT(10)</f>
        <v>1.1127343698195788e-003</v>
      </c>
      <c r="F27">
        <f>F26/SQRT(10)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:N1"/>
    </sheetView>
  </sheetViews>
  <sheetFormatPr defaultRowHeight="14.25"/>
  <cols>
    <col bestFit="1" customWidth="1" min="1" max="1" width="10.59765625"/>
    <col bestFit="1" customWidth="1" min="2" max="2" width="21.46484375"/>
    <col bestFit="1" customWidth="1" min="3" max="3" width="10.59765625"/>
    <col bestFit="1" customWidth="1" min="5" max="5" width="10.59765625"/>
    <col bestFit="1" customWidth="1" min="6" max="6" width="11.73046875"/>
    <col customWidth="1" min="7" max="7" width="10.46484375"/>
    <col bestFit="1" customWidth="1" min="8" max="8" width="11.7304687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A1" s="28"/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A2" s="28"/>
      <c r="B2" s="32">
        <v>0.14999999999999999</v>
      </c>
      <c r="C2" s="33">
        <v>0.20000000000000001</v>
      </c>
      <c r="D2" s="33">
        <v>0.25</v>
      </c>
      <c r="E2" s="33">
        <v>0.29999999999999999</v>
      </c>
      <c r="F2" s="33">
        <v>0.34999999999999998</v>
      </c>
      <c r="G2" s="33">
        <v>0.40000000000000002</v>
      </c>
      <c r="H2" s="34">
        <v>0.45000000000000001</v>
      </c>
    </row>
    <row r="3">
      <c r="A3" s="28"/>
      <c r="B3" s="35" t="s">
        <v>11</v>
      </c>
      <c r="C3" s="36" t="s">
        <v>11</v>
      </c>
      <c r="D3" s="36" t="s">
        <v>11</v>
      </c>
      <c r="E3" s="36" t="s">
        <v>11</v>
      </c>
      <c r="F3" s="36" t="s">
        <v>11</v>
      </c>
      <c r="G3" s="36" t="s">
        <v>11</v>
      </c>
      <c r="H3" s="37" t="s">
        <v>11</v>
      </c>
    </row>
    <row r="4">
      <c r="A4" s="28"/>
      <c r="B4" s="38">
        <v>0.14330000000000001</v>
      </c>
      <c r="C4" s="39">
        <v>0.16980000000000001</v>
      </c>
      <c r="D4" s="39">
        <v>0.19339999999999999</v>
      </c>
      <c r="E4" s="39">
        <v>0.21460000000000001</v>
      </c>
      <c r="F4" s="39">
        <v>0.23419999999999999</v>
      </c>
      <c r="G4" s="39">
        <v>0.25280000000000002</v>
      </c>
      <c r="H4" s="40">
        <v>0.27129999999999999</v>
      </c>
    </row>
    <row r="5">
      <c r="A5" s="28"/>
      <c r="B5" s="41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2">
        <v>0.27189999999999998</v>
      </c>
    </row>
    <row r="6">
      <c r="A6" s="28"/>
      <c r="B6" s="41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2">
        <v>0.27210000000000001</v>
      </c>
    </row>
    <row r="7">
      <c r="A7" s="28"/>
      <c r="B7" s="41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2">
        <v>0.27079999999999999</v>
      </c>
    </row>
    <row r="8">
      <c r="A8" s="28"/>
      <c r="B8" s="41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2">
        <v>0.27179999999999999</v>
      </c>
    </row>
    <row r="9">
      <c r="A9" s="28"/>
      <c r="B9" s="41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2">
        <v>0.26860000000000001</v>
      </c>
    </row>
    <row r="10" ht="14.65">
      <c r="A10" s="43"/>
      <c r="B10" s="44">
        <v>0.1431</v>
      </c>
      <c r="C10" s="45">
        <v>0.17000000000000001</v>
      </c>
      <c r="D10" s="45">
        <v>0.19359999999999999</v>
      </c>
      <c r="E10" s="45">
        <v>0.21479999999999999</v>
      </c>
      <c r="F10" s="45">
        <v>0.23430000000000001</v>
      </c>
      <c r="G10" s="45">
        <v>0.25340000000000001</v>
      </c>
      <c r="H10" s="46">
        <v>0.26829999999999998</v>
      </c>
    </row>
    <row r="11" ht="14.25">
      <c r="A11" s="47" t="s">
        <v>8</v>
      </c>
      <c r="B11" s="48">
        <f>AVERAGE(B4:B10)</f>
        <v>0.14324285714285714</v>
      </c>
      <c r="C11" s="49">
        <f>AVERAGE(C4:C10)</f>
        <v>0.17062857142857141</v>
      </c>
      <c r="D11" s="49">
        <f>AVERAGE(D4:D10)</f>
        <v>0.19338571428571427</v>
      </c>
      <c r="E11" s="49">
        <f>AVERAGE(E4:E10)</f>
        <v>0.21485714285714286</v>
      </c>
      <c r="F11" s="49">
        <f>AVERAGE(F4:F10)</f>
        <v>0.23432857142857141</v>
      </c>
      <c r="G11" s="49">
        <f>AVERAGE(G4:G10)</f>
        <v>0.25324285714285721</v>
      </c>
      <c r="H11" s="49">
        <f>AVERAGE(H4:H10)</f>
        <v>0.27068571428571425</v>
      </c>
    </row>
    <row r="12" ht="14.25">
      <c r="A12" s="50" t="s">
        <v>12</v>
      </c>
      <c r="B12" s="51">
        <f>_xlfn.STDEV.S(B4:B10)/SQRT(7)</f>
        <v>4.2857142857143202e-005</v>
      </c>
      <c r="C12" s="26">
        <f>_xlfn.STDEV.S(C4:C10)/SQRT(7)</f>
        <v>2.4369603013188476e-004</v>
      </c>
      <c r="D12" s="26">
        <f>_xlfn.STDEV.S(D4:D10)/SQRT(7)</f>
        <v>5.9476171413316292e-005</v>
      </c>
      <c r="E12" s="26">
        <f>_xlfn.STDEV.S(E4:E10)/SQRT(7)</f>
        <v>7.514158970504462e-005</v>
      </c>
      <c r="F12" s="26">
        <f>_xlfn.STDEV.S(F4:F10)/SQRT(7)</f>
        <v>4.2056004125370102e-005</v>
      </c>
      <c r="G12" s="26">
        <f>_xlfn.STDEV.S(G4:G10)/SQRT(7)</f>
        <v>1.2697420596164739e-004</v>
      </c>
      <c r="H12" s="2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F26" activeCellId="0" sqref="F26"/>
    </sheetView>
  </sheetViews>
  <sheetFormatPr defaultRowHeight="14.25"/>
  <cols>
    <col bestFit="1" customWidth="1" min="1" max="1" width="22.875"/>
    <col bestFit="1" customWidth="1" min="2" max="2" width="14.125"/>
    <col bestFit="1" customWidth="1" min="3" max="3" width="18.79296875"/>
    <col bestFit="1" customWidth="1" min="4" max="4" width="22.875"/>
    <col bestFit="1" customWidth="1" min="5" max="5" width="14.125"/>
    <col bestFit="1" customWidth="1" min="6" max="6" width="18.79296875"/>
    <col bestFit="1" min="7" max="7" width="22.875"/>
    <col bestFit="1" min="8" max="8" width="14.125"/>
    <col bestFit="1" min="9" max="9" width="18.79296875"/>
    <col bestFit="1" min="10" max="10" width="10.8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2" t="s">
        <v>1</v>
      </c>
      <c r="H1" s="2" t="s">
        <v>2</v>
      </c>
      <c r="I1" s="4" t="s">
        <v>3</v>
      </c>
    </row>
    <row r="2">
      <c r="A2" s="15">
        <v>0.91500000000000004</v>
      </c>
      <c r="B2" s="16">
        <v>1.9906999999999999</v>
      </c>
      <c r="C2">
        <v>1.9875</v>
      </c>
      <c r="D2" s="15">
        <v>0.92000000000000004</v>
      </c>
      <c r="E2">
        <v>1.9911000000000001</v>
      </c>
      <c r="F2" s="8">
        <v>1.9866999999999999</v>
      </c>
      <c r="G2" s="15">
        <v>0.91800000000000004</v>
      </c>
      <c r="H2" s="16">
        <v>1.9910000000000001</v>
      </c>
      <c r="I2" s="52">
        <v>1.9874000000000001</v>
      </c>
    </row>
    <row r="3">
      <c r="A3" s="19"/>
      <c r="B3" s="5">
        <v>1.9911000000000001</v>
      </c>
      <c r="C3">
        <v>1.9873000000000001</v>
      </c>
      <c r="D3" s="19"/>
      <c r="E3">
        <v>1.9863</v>
      </c>
      <c r="F3" s="8">
        <v>1.9923999999999999</v>
      </c>
      <c r="G3" s="19"/>
      <c r="H3" s="5">
        <v>1.9911000000000001</v>
      </c>
      <c r="I3" s="52">
        <v>1.988</v>
      </c>
    </row>
    <row r="4">
      <c r="A4" s="19"/>
      <c r="B4" s="5">
        <v>1.9908999999999999</v>
      </c>
      <c r="C4">
        <v>1.9894000000000001</v>
      </c>
      <c r="D4" s="19"/>
      <c r="E4">
        <v>1.9910000000000001</v>
      </c>
      <c r="F4" s="8">
        <v>1.9919</v>
      </c>
      <c r="G4" s="19"/>
      <c r="H4" s="5">
        <v>1.9904999999999999</v>
      </c>
      <c r="I4" s="52">
        <v>1.9881</v>
      </c>
    </row>
    <row r="5">
      <c r="A5" s="19"/>
      <c r="B5" s="5">
        <v>1.9919</v>
      </c>
      <c r="C5">
        <v>1.9890000000000001</v>
      </c>
      <c r="D5" s="19"/>
      <c r="E5">
        <v>1.9857</v>
      </c>
      <c r="F5" s="8">
        <v>1.9925999999999999</v>
      </c>
      <c r="G5" s="19"/>
      <c r="H5" s="5">
        <v>1.9918</v>
      </c>
      <c r="I5" s="52">
        <v>1.9851000000000001</v>
      </c>
    </row>
    <row r="6">
      <c r="A6" s="19"/>
      <c r="B6" s="5">
        <v>1.9908999999999999</v>
      </c>
      <c r="C6">
        <v>1.9882</v>
      </c>
      <c r="D6" s="19"/>
      <c r="E6">
        <v>1.9905999999999999</v>
      </c>
      <c r="F6" s="8">
        <v>1.9903999999999999</v>
      </c>
      <c r="G6" s="19"/>
      <c r="H6" s="5">
        <v>1.9911000000000001</v>
      </c>
      <c r="I6" s="52">
        <v>1.9869000000000001</v>
      </c>
    </row>
    <row r="7">
      <c r="A7" s="19"/>
      <c r="B7" s="5">
        <v>1.9906999999999999</v>
      </c>
      <c r="C7">
        <v>1.9882</v>
      </c>
      <c r="D7" s="19"/>
      <c r="E7">
        <v>1.9925999999999999</v>
      </c>
      <c r="F7" s="8">
        <v>1.9904999999999999</v>
      </c>
      <c r="G7" s="19"/>
      <c r="H7" s="5">
        <v>1.9914000000000001</v>
      </c>
      <c r="I7" s="52">
        <v>1.9877</v>
      </c>
    </row>
    <row r="8">
      <c r="A8" s="19"/>
      <c r="B8" s="5">
        <v>1.9913000000000001</v>
      </c>
      <c r="C8">
        <v>1.988</v>
      </c>
      <c r="D8" s="19"/>
      <c r="E8">
        <v>1.9928999999999999</v>
      </c>
      <c r="F8" s="8">
        <v>1.9907999999999999</v>
      </c>
      <c r="G8" s="19"/>
      <c r="H8" s="5">
        <v>1.9905999999999999</v>
      </c>
      <c r="I8" s="52">
        <v>1.9882</v>
      </c>
    </row>
    <row r="9">
      <c r="A9" s="19"/>
      <c r="B9" s="5">
        <v>1.9904999999999999</v>
      </c>
      <c r="C9">
        <v>1.9886999999999999</v>
      </c>
      <c r="D9" s="19"/>
      <c r="E9">
        <v>1.9905999999999999</v>
      </c>
      <c r="F9" s="8">
        <v>1.9937</v>
      </c>
      <c r="G9" s="19"/>
      <c r="H9" s="5">
        <v>1.9910000000000001</v>
      </c>
      <c r="I9" s="52">
        <v>1.9891000000000001</v>
      </c>
    </row>
    <row r="10">
      <c r="A10" s="19"/>
      <c r="B10" s="5">
        <v>1.9905999999999999</v>
      </c>
      <c r="C10">
        <v>1.9879</v>
      </c>
      <c r="D10" s="19"/>
      <c r="E10">
        <v>1.982</v>
      </c>
      <c r="F10" s="8">
        <v>1.99</v>
      </c>
      <c r="G10" s="19"/>
      <c r="H10" s="5">
        <v>1.9907999999999999</v>
      </c>
      <c r="I10" s="52">
        <v>1.9877</v>
      </c>
    </row>
    <row r="11" ht="14.65">
      <c r="A11" s="19"/>
      <c r="B11" s="9">
        <v>1.9923</v>
      </c>
      <c r="C11" s="18">
        <v>1.9870000000000001</v>
      </c>
      <c r="D11" s="19"/>
      <c r="E11" s="9">
        <v>1.9910000000000001</v>
      </c>
      <c r="F11" s="18">
        <v>1.9839</v>
      </c>
      <c r="G11" s="33"/>
      <c r="H11" s="9">
        <v>1.9916</v>
      </c>
      <c r="I11" s="18">
        <v>1.9892000000000001</v>
      </c>
    </row>
    <row r="12" ht="14.65">
      <c r="A12" s="20" t="s">
        <v>8</v>
      </c>
      <c r="B12" s="21">
        <f>AVERAGE(B2:B11)</f>
        <v>1.9910900000000002</v>
      </c>
      <c r="C12">
        <f>AVERAGE(C2:C11)</f>
        <v>1.9881199999999999</v>
      </c>
      <c r="D12" s="23" t="s">
        <v>8</v>
      </c>
      <c r="E12" s="6">
        <f>AVERAGE(E2:E11)</f>
        <v>1.9893800000000001</v>
      </c>
      <c r="F12" s="25">
        <f>AVERAGE(F2:F11)</f>
        <v>1.9902899999999994</v>
      </c>
      <c r="G12" s="20" t="s">
        <v>8</v>
      </c>
      <c r="H12" s="53">
        <f>AVERAGE(H2:H11)</f>
        <v>1.9910899999999998</v>
      </c>
      <c r="I12" s="54">
        <f>AVERAGE(I2:I11)</f>
        <v>1.9877400000000001</v>
      </c>
    </row>
    <row r="13" ht="14.65">
      <c r="A13" s="26" t="s">
        <v>9</v>
      </c>
      <c r="B13" s="9">
        <f>_xlfn.STDEV.S(B2:B11)</f>
        <v>5.8963265400306707e-004</v>
      </c>
      <c r="C13" s="18">
        <f>_xlfn.STDEV.S(C2:C11)</f>
        <v>7.554248252914698e-004</v>
      </c>
      <c r="D13" s="27" t="s">
        <v>9</v>
      </c>
      <c r="E13" s="9">
        <f>_xlfn.STDEV.S(E2:E11)</f>
        <v>3.5187750393819938e-003</v>
      </c>
      <c r="F13" s="18">
        <f>_xlfn.STDEV.S(F2:F11)</f>
        <v>2.9463536787018665e-003</v>
      </c>
      <c r="G13" s="26" t="s">
        <v>9</v>
      </c>
      <c r="H13" s="9">
        <f>_xlfn.STDEV.S(H2:H11)</f>
        <v>4.1486276177929101e-004</v>
      </c>
      <c r="I13" s="18">
        <f>_xlfn.STDEV.S(I2:I11)</f>
        <v>1.1635195648452797e-003</v>
      </c>
    </row>
    <row r="14">
      <c r="A14" t="s">
        <v>10</v>
      </c>
      <c r="B14" s="55">
        <f>B13/SQRT(10)</f>
        <v>1.8645821694596905e-004</v>
      </c>
      <c r="C14" s="55">
        <f>C13/SQRT(10)</f>
        <v>2.3888630489558158e-004</v>
      </c>
      <c r="D14" t="s">
        <v>10</v>
      </c>
      <c r="E14" s="55">
        <f>E13/SQRT(10)</f>
        <v>1.1127343698195788e-003</v>
      </c>
      <c r="F14" s="55">
        <f>F13/SQRT(10)</f>
        <v>9.3171884171138343e-004</v>
      </c>
      <c r="G14" s="55" t="s">
        <v>10</v>
      </c>
      <c r="H14" s="55">
        <f>H13/SQRT(10)</f>
        <v>1.3119112436104082e-004</v>
      </c>
      <c r="I14" s="55">
        <f>I13/SQRT(10)</f>
        <v>3.679371927079062e-004</v>
      </c>
    </row>
    <row r="28" ht="14.25">
      <c r="D28" s="55"/>
      <c r="E28" s="55"/>
      <c r="F28" s="5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2026-05-12T14:49:28Z</dcterms:modified>
</cp:coreProperties>
</file>