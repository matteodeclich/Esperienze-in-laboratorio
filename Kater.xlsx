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18" documentId="8_{19C89E71-1DD8-47E7-B68E-0E1E8817402E}" xr6:coauthVersionLast="47" xr6:coauthVersionMax="47" xr10:uidLastSave="{CF5003AD-A6AF-4FDF-8EA1-90A9651AE19D}"/>
  <bookViews>
    <workbookView xWindow="-83" yWindow="0" windowWidth="10965" windowHeight="12863" activeTab="2" xr2:uid="{3B2BD29B-AF11-4365-A6A6-128F74E5E299}"/>
  </bookViews>
  <sheets>
    <sheet name="Periodi" sheetId="1" r:id="rId1"/>
    <sheet name="Intersezione" sheetId="2" r:id="rId2"/>
    <sheet name="Foglio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4" i="3" l="1"/>
  <c r="B14" i="3"/>
  <c r="F13" i="3"/>
  <c r="E13" i="3"/>
  <c r="C13" i="3"/>
  <c r="B13" i="3"/>
  <c r="F12" i="3"/>
  <c r="E12" i="3"/>
  <c r="C12" i="3"/>
  <c r="B12" i="3"/>
  <c r="F13" i="2"/>
  <c r="E13" i="2"/>
  <c r="F12" i="2"/>
  <c r="E12" i="2"/>
  <c r="C13" i="2"/>
  <c r="B13" i="2"/>
  <c r="C12" i="2"/>
  <c r="B12" i="2"/>
</calcChain>
</file>

<file path=xl/sharedStrings.xml><?xml version="1.0" encoding="utf-8"?>
<sst xmlns="http://schemas.openxmlformats.org/spreadsheetml/2006/main" count="31" uniqueCount="11">
  <si>
    <t>Distanza massa interna (m)</t>
  </si>
  <si>
    <t>Distanza massa esterna (m)</t>
  </si>
  <si>
    <t>T2 (massa esterna) (s)</t>
  </si>
  <si>
    <t>T1 (coltello 1) (s)</t>
  </si>
  <si>
    <t>Media</t>
  </si>
  <si>
    <t>Deviazione standard</t>
  </si>
  <si>
    <t>Distanza (m)</t>
  </si>
  <si>
    <t>h (m)</t>
  </si>
  <si>
    <t>cateto opposto (m)</t>
  </si>
  <si>
    <t>Errore sulla misura (m)</t>
  </si>
  <si>
    <t>Errore standard della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</si>
</sst>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3" borderId="2" xfId="0" applyFill="1" applyBorder="1"/>
    <xf numFmtId="0" fontId="0" fillId="0" borderId="4" xfId="0" applyBorder="1"/>
    <xf numFmtId="0" fontId="0" fillId="3" borderId="5" xfId="0" applyFill="1" applyBorder="1"/>
    <xf numFmtId="0" fontId="0" fillId="0" borderId="6" xfId="0" applyBorder="1"/>
    <xf numFmtId="0" fontId="0" fillId="0" borderId="7" xfId="0" applyBorder="1"/>
    <xf numFmtId="0" fontId="0" fillId="2" borderId="2" xfId="0" applyFill="1" applyBorder="1"/>
    <xf numFmtId="0" fontId="0" fillId="2" borderId="4" xfId="0" applyFill="1" applyBorder="1"/>
    <xf numFmtId="16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0" fillId="0" borderId="2" xfId="0" applyBorder="1"/>
    <xf numFmtId="0" fontId="0" fillId="0" borderId="5" xfId="0" applyBorder="1"/>
    <xf numFmtId="164" fontId="0" fillId="0" borderId="2" xfId="0" applyNumberFormat="1" applyBorder="1"/>
    <xf numFmtId="164" fontId="0" fillId="0" borderId="4" xfId="0" applyNumberFormat="1" applyBorder="1"/>
    <xf numFmtId="0" fontId="0" fillId="2" borderId="10" xfId="0" applyFill="1" applyBorder="1"/>
    <xf numFmtId="0" fontId="0" fillId="3" borderId="11" xfId="0" applyFill="1" applyBorder="1"/>
    <xf numFmtId="0" fontId="0" fillId="0" borderId="11" xfId="0" applyBorder="1"/>
    <xf numFmtId="0" fontId="0" fillId="3" borderId="1" xfId="0" applyFill="1" applyBorder="1"/>
    <xf numFmtId="0" fontId="0" fillId="3" borderId="10" xfId="0" applyFill="1" applyBorder="1"/>
    <xf numFmtId="0" fontId="0" fillId="3" borderId="12" xfId="0" applyFill="1" applyBorder="1"/>
    <xf numFmtId="0" fontId="0" fillId="3" borderId="3" xfId="0" applyFill="1" applyBorder="1"/>
    <xf numFmtId="0" fontId="0" fillId="3" borderId="4" xfId="0" applyFill="1" applyBorder="1"/>
    <xf numFmtId="0" fontId="0" fillId="2" borderId="3" xfId="0" applyFill="1" applyBorder="1"/>
    <xf numFmtId="164" fontId="0" fillId="0" borderId="0" xfId="0" applyNumberFormat="1"/>
    <xf numFmtId="164" fontId="0" fillId="0" borderId="9" xfId="0" applyNumberFormat="1" applyBorder="1"/>
    <xf numFmtId="164" fontId="0" fillId="0" borderId="6" xfId="0" applyNumberFormat="1" applyBorder="1"/>
    <xf numFmtId="164" fontId="0" fillId="0" borderId="7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0AEA-104B-451D-928D-16D15628F08A}">
  <dimension ref="A1:D27"/>
  <sheetViews>
    <sheetView workbookViewId="0">
      <selection activeCell="B1" sqref="B1:D27"/>
    </sheetView>
  </sheetViews>
  <sheetFormatPr defaultRowHeight="14.25" x14ac:dyDescent="0.45"/>
  <cols>
    <col min="1" max="1" width="21.86328125" bestFit="1" customWidth="1"/>
    <col min="2" max="2" width="22.1328125" bestFit="1" customWidth="1"/>
    <col min="3" max="3" width="13.796875" bestFit="1" customWidth="1"/>
    <col min="4" max="4" width="18" bestFit="1" customWidth="1"/>
    <col min="6" max="6" width="9.06640625" customWidth="1"/>
    <col min="7" max="7" width="22.1328125" bestFit="1" customWidth="1"/>
    <col min="8" max="8" width="13.796875" bestFit="1" customWidth="1"/>
    <col min="9" max="9" width="18" bestFit="1" customWidth="1"/>
  </cols>
  <sheetData>
    <row r="1" spans="1:4" x14ac:dyDescent="0.45">
      <c r="A1" s="1" t="s">
        <v>1</v>
      </c>
      <c r="B1" s="7" t="s">
        <v>0</v>
      </c>
      <c r="C1" s="24" t="s">
        <v>3</v>
      </c>
      <c r="D1" s="8" t="s">
        <v>2</v>
      </c>
    </row>
    <row r="2" spans="1:4" x14ac:dyDescent="0.45">
      <c r="A2">
        <v>0.12</v>
      </c>
      <c r="B2" s="11">
        <v>0.08</v>
      </c>
      <c r="C2" s="25">
        <v>1.9995000000000001</v>
      </c>
      <c r="D2" s="26">
        <v>1.9543999999999999</v>
      </c>
    </row>
    <row r="3" spans="1:4" x14ac:dyDescent="0.45">
      <c r="B3" s="11">
        <v>0.1</v>
      </c>
      <c r="C3" s="25">
        <v>1.9843</v>
      </c>
      <c r="D3" s="26">
        <v>1.9044000000000001</v>
      </c>
    </row>
    <row r="4" spans="1:4" x14ac:dyDescent="0.45">
      <c r="B4" s="11">
        <v>0.13</v>
      </c>
      <c r="C4" s="25">
        <v>1.9690000000000001</v>
      </c>
      <c r="D4" s="26">
        <v>1.8761000000000001</v>
      </c>
    </row>
    <row r="5" spans="1:4" x14ac:dyDescent="0.45">
      <c r="B5" s="11">
        <v>0.16300000000000001</v>
      </c>
      <c r="C5" s="25">
        <v>1.9643999999999999</v>
      </c>
      <c r="D5" s="26">
        <v>1.8714</v>
      </c>
    </row>
    <row r="6" spans="1:4" x14ac:dyDescent="0.45">
      <c r="B6" s="11">
        <v>0.19</v>
      </c>
      <c r="C6" s="25">
        <v>1.9528000000000001</v>
      </c>
      <c r="D6" s="26">
        <v>1.8234999999999999</v>
      </c>
    </row>
    <row r="7" spans="1:4" x14ac:dyDescent="0.45">
      <c r="B7" s="11">
        <v>0.22</v>
      </c>
      <c r="C7" s="25">
        <v>1.9461999999999999</v>
      </c>
      <c r="D7" s="26">
        <v>1.8037000000000001</v>
      </c>
    </row>
    <row r="8" spans="1:4" x14ac:dyDescent="0.45">
      <c r="B8" s="11">
        <v>0.245</v>
      </c>
      <c r="C8" s="25">
        <v>1.9360999999999999</v>
      </c>
      <c r="D8" s="26">
        <v>1.76</v>
      </c>
    </row>
    <row r="9" spans="1:4" x14ac:dyDescent="0.45">
      <c r="B9" s="11">
        <v>0.27</v>
      </c>
      <c r="C9" s="25">
        <v>1.9354</v>
      </c>
      <c r="D9" s="26">
        <v>1.7618</v>
      </c>
    </row>
    <row r="10" spans="1:4" x14ac:dyDescent="0.45">
      <c r="B10" s="11">
        <v>0.30499999999999999</v>
      </c>
      <c r="C10" s="25">
        <v>1.921</v>
      </c>
      <c r="D10" s="26">
        <v>1.7654000000000001</v>
      </c>
    </row>
    <row r="11" spans="1:4" x14ac:dyDescent="0.45">
      <c r="B11" s="11">
        <v>0.33700000000000002</v>
      </c>
      <c r="C11" s="25">
        <v>1.9114</v>
      </c>
      <c r="D11" s="26">
        <v>1.7536</v>
      </c>
    </row>
    <row r="12" spans="1:4" x14ac:dyDescent="0.45">
      <c r="B12" s="11">
        <v>0.379</v>
      </c>
      <c r="C12" s="25">
        <v>1.903</v>
      </c>
      <c r="D12" s="26">
        <v>1.7468999999999999</v>
      </c>
    </row>
    <row r="13" spans="1:4" x14ac:dyDescent="0.45">
      <c r="B13" s="11">
        <v>0.42</v>
      </c>
      <c r="C13" s="25">
        <v>1.9016</v>
      </c>
      <c r="D13" s="26">
        <v>1.7565999999999999</v>
      </c>
    </row>
    <row r="14" spans="1:4" x14ac:dyDescent="0.45">
      <c r="B14" s="11">
        <v>0.46500000000000002</v>
      </c>
      <c r="C14" s="25">
        <v>1.8985000000000001</v>
      </c>
      <c r="D14" s="26">
        <v>1.7608999999999999</v>
      </c>
    </row>
    <row r="15" spans="1:4" x14ac:dyDescent="0.45">
      <c r="B15" s="11">
        <v>0.51</v>
      </c>
      <c r="C15" s="25">
        <v>1.8929</v>
      </c>
      <c r="D15" s="26">
        <v>1.7766</v>
      </c>
    </row>
    <row r="16" spans="1:4" x14ac:dyDescent="0.45">
      <c r="B16" s="11">
        <v>0.55500000000000005</v>
      </c>
      <c r="C16" s="25">
        <v>1.88</v>
      </c>
      <c r="D16" s="26">
        <v>1.7897000000000001</v>
      </c>
    </row>
    <row r="17" spans="2:4" x14ac:dyDescent="0.45">
      <c r="B17" s="11">
        <v>0.59</v>
      </c>
      <c r="C17" s="25">
        <v>1.8823000000000001</v>
      </c>
      <c r="D17" s="26">
        <v>1.8021</v>
      </c>
    </row>
    <row r="18" spans="2:4" x14ac:dyDescent="0.45">
      <c r="B18" s="11">
        <v>0.622</v>
      </c>
      <c r="C18" s="25">
        <v>1.8936999999999999</v>
      </c>
      <c r="D18" s="26">
        <v>1.8011999999999999</v>
      </c>
    </row>
    <row r="19" spans="2:4" x14ac:dyDescent="0.45">
      <c r="B19" s="11">
        <v>0.66300000000000003</v>
      </c>
      <c r="C19" s="25">
        <v>1.8996</v>
      </c>
      <c r="D19" s="26">
        <v>1.8382000000000001</v>
      </c>
    </row>
    <row r="20" spans="2:4" x14ac:dyDescent="0.45">
      <c r="B20" s="11">
        <v>0.70499999999999996</v>
      </c>
      <c r="C20" s="25">
        <v>1.8989</v>
      </c>
      <c r="D20" s="26">
        <v>1.8492999999999999</v>
      </c>
    </row>
    <row r="21" spans="2:4" x14ac:dyDescent="0.45">
      <c r="B21" s="11">
        <v>0.74</v>
      </c>
      <c r="C21" s="25">
        <v>1.9069</v>
      </c>
      <c r="D21" s="26">
        <v>1.8694</v>
      </c>
    </row>
    <row r="22" spans="2:4" x14ac:dyDescent="0.45">
      <c r="B22" s="11">
        <v>0.77500000000000002</v>
      </c>
      <c r="C22" s="25">
        <v>1.9159999999999999</v>
      </c>
      <c r="D22" s="26">
        <v>1.8993</v>
      </c>
    </row>
    <row r="23" spans="2:4" x14ac:dyDescent="0.45">
      <c r="B23" s="11">
        <v>0.81</v>
      </c>
      <c r="C23" s="25">
        <v>1.9296</v>
      </c>
      <c r="D23" s="26">
        <v>1.9175</v>
      </c>
    </row>
    <row r="24" spans="2:4" x14ac:dyDescent="0.45">
      <c r="B24" s="11">
        <v>0.83799999999999997</v>
      </c>
      <c r="C24" s="25">
        <v>1.9403999999999999</v>
      </c>
      <c r="D24" s="26">
        <v>1.9319</v>
      </c>
    </row>
    <row r="25" spans="2:4" x14ac:dyDescent="0.45">
      <c r="B25" s="11">
        <v>0.88200000000000001</v>
      </c>
      <c r="C25" s="25">
        <v>1.9753000000000001</v>
      </c>
      <c r="D25" s="26">
        <v>1.9626999999999999</v>
      </c>
    </row>
    <row r="26" spans="2:4" x14ac:dyDescent="0.45">
      <c r="B26" s="11">
        <v>0.91500000000000004</v>
      </c>
      <c r="C26">
        <v>1.9802999999999999</v>
      </c>
      <c r="D26" s="10">
        <v>1.9879</v>
      </c>
    </row>
    <row r="27" spans="2:4" ht="14.65" thickBot="1" x14ac:dyDescent="0.5">
      <c r="B27" s="13">
        <v>0.92</v>
      </c>
      <c r="C27" s="27">
        <v>1.9931000000000001</v>
      </c>
      <c r="D27" s="28">
        <v>1.9933000000000001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1EE30-F3F4-48C6-BC63-D4000596DD25}">
  <dimension ref="A1:I13"/>
  <sheetViews>
    <sheetView zoomScale="110" zoomScaleNormal="110" workbookViewId="0">
      <selection sqref="A1:I13"/>
    </sheetView>
  </sheetViews>
  <sheetFormatPr defaultRowHeight="14.25" x14ac:dyDescent="0.45"/>
  <cols>
    <col min="1" max="1" width="22.1328125" bestFit="1" customWidth="1"/>
    <col min="2" max="2" width="15.6640625" bestFit="1" customWidth="1"/>
    <col min="3" max="3" width="18.46484375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spans="1:9" ht="14.65" thickBot="1" x14ac:dyDescent="0.5">
      <c r="A2" s="17">
        <v>0.91500000000000004</v>
      </c>
      <c r="B2" s="9">
        <v>1.9890000000000001</v>
      </c>
      <c r="C2" s="10">
        <v>1.9834000000000001</v>
      </c>
      <c r="D2" s="17">
        <v>0.92</v>
      </c>
      <c r="E2" s="11">
        <v>1.9897</v>
      </c>
      <c r="F2" s="10">
        <v>1.9911000000000001</v>
      </c>
      <c r="G2" s="13">
        <v>1.0049999999999999</v>
      </c>
      <c r="H2" s="5">
        <v>0.09</v>
      </c>
      <c r="I2" s="6">
        <v>5.0000000000000001E-3</v>
      </c>
    </row>
    <row r="3" spans="1:9" x14ac:dyDescent="0.45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 spans="1:9" x14ac:dyDescent="0.45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 spans="1:9" x14ac:dyDescent="0.4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 spans="1:9" x14ac:dyDescent="0.45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 spans="1:9" x14ac:dyDescent="0.45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 spans="1:9" x14ac:dyDescent="0.45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 spans="1:9" x14ac:dyDescent="0.45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 spans="1:9" x14ac:dyDescent="0.45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spans="1:9" ht="14.65" thickBot="1" x14ac:dyDescent="0.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spans="1:9" ht="14.65" thickBot="1" x14ac:dyDescent="0.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spans="1:9" ht="14.65" thickBot="1" x14ac:dyDescent="0.5">
      <c r="A13" s="21" t="s">
        <v>5</v>
      </c>
      <c r="B13" s="13">
        <f>_xlfn.STDEV.S(B2:B11)</f>
        <v>1.1993053545003578E-3</v>
      </c>
      <c r="C13" s="6">
        <f>_xlfn.STDEV.S(C2:C11)</f>
        <v>2.0965580258021552E-3</v>
      </c>
      <c r="D13" s="4" t="s">
        <v>5</v>
      </c>
      <c r="E13" s="13">
        <f>_xlfn.STDEV.S(E2:E11)</f>
        <v>2.0512597755200563E-3</v>
      </c>
      <c r="F13" s="6">
        <f>_xlfn.STDEV.S(F2:F11)</f>
        <v>2.6234201595118625E-3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3B4CE-F596-452E-9DD8-1E4854DB4C41}">
  <dimension ref="A1:I14"/>
  <sheetViews>
    <sheetView tabSelected="1" workbookViewId="0">
      <selection activeCell="C20" sqref="C20"/>
    </sheetView>
  </sheetViews>
  <sheetFormatPr defaultRowHeight="14.25" x14ac:dyDescent="0.45"/>
  <cols>
    <col min="1" max="1" width="22.1328125" bestFit="1" customWidth="1"/>
    <col min="2" max="2" width="13.796875" bestFit="1" customWidth="1"/>
    <col min="3" max="3" width="18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spans="1:9" ht="14.65" thickBot="1" x14ac:dyDescent="0.5">
      <c r="A2" s="17">
        <v>0.91500000000000004</v>
      </c>
      <c r="B2" s="9">
        <v>1.9890000000000001</v>
      </c>
      <c r="C2" s="10">
        <v>1.9834000000000001</v>
      </c>
      <c r="D2" s="17">
        <v>0.92</v>
      </c>
      <c r="E2" s="11">
        <v>1.9897</v>
      </c>
      <c r="F2" s="10">
        <v>1.9911000000000001</v>
      </c>
      <c r="G2" s="13">
        <v>1.0049999999999999</v>
      </c>
      <c r="H2" s="5">
        <v>0.09</v>
      </c>
      <c r="I2" s="6">
        <v>5.0000000000000001E-3</v>
      </c>
    </row>
    <row r="3" spans="1:9" x14ac:dyDescent="0.45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 spans="1:9" x14ac:dyDescent="0.45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 spans="1:9" x14ac:dyDescent="0.4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 spans="1:9" x14ac:dyDescent="0.45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 spans="1:9" x14ac:dyDescent="0.45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 spans="1:9" x14ac:dyDescent="0.45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 spans="1:9" x14ac:dyDescent="0.45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 spans="1:9" x14ac:dyDescent="0.45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spans="1:9" ht="14.65" thickBot="1" x14ac:dyDescent="0.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spans="1:9" ht="14.65" thickBot="1" x14ac:dyDescent="0.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spans="1:9" ht="14.65" thickBot="1" x14ac:dyDescent="0.5">
      <c r="A13" s="21" t="s">
        <v>5</v>
      </c>
      <c r="B13" s="13">
        <f>_xlfn.STDEV.S(B2:B11)</f>
        <v>1.1993053545003578E-3</v>
      </c>
      <c r="C13" s="6">
        <f>_xlfn.STDEV.S(C2:C11)</f>
        <v>2.0965580258021552E-3</v>
      </c>
      <c r="D13" s="4" t="s">
        <v>5</v>
      </c>
      <c r="E13" s="13">
        <f>_xlfn.STDEV.S(E2:E11)</f>
        <v>2.0512597755200563E-3</v>
      </c>
      <c r="F13" s="6">
        <f>_xlfn.STDEV.S(F2:F11)</f>
        <v>2.6234201595118625E-3</v>
      </c>
    </row>
    <row r="14" spans="1:9" x14ac:dyDescent="0.45">
      <c r="A14" t="s">
        <v>10</v>
      </c>
      <c r="B14">
        <f>B13/SQRT(10)</f>
        <v>3.7925365302567999E-4</v>
      </c>
      <c r="C14">
        <f>C13/SQRT(10)</f>
        <v>6.6298986082408758E-4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Periodi</vt:lpstr>
      <vt:lpstr>Intersezione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2026-05-12T08:51:21Z</dcterms:created>
  <dcterms:modified xsi:type="dcterms:W3CDTF">2026-05-12T11:17:34Z</dcterms:modified>
</cp:coreProperties>
</file>