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-98" yWindow="-98" windowWidth="21795" windowHeight="12975" activeTab="2"/>
  </bookViews>
  <sheets>
    <sheet name="Periodi" sheetId="1" r:id="rId1"/>
    <sheet name="Intersezione" sheetId="2" r:id="rId2"/>
    <sheet name="Foglio1" sheetId="3" r:id="rId3"/>
  </sheets>
  <calcPr calcId="191029"/>
</workbook>
</file>

<file path=xl/sharedStrings.xml><?xml version="1.0" encoding="utf-8"?>
<sst xmlns="http://schemas.openxmlformats.org/spreadsheetml/2006/main" count="11" uniqueCount="11">
  <si>
    <t xml:space="preserve">Distanza massa interna (m)</t>
  </si>
  <si>
    <t xml:space="preserve">Distanza massa esterna (m)</t>
  </si>
  <si>
    <t xml:space="preserve">T2 (massa esterna) (s)</t>
  </si>
  <si>
    <t xml:space="preserve">T1 (coltello 1) (s)</t>
  </si>
  <si>
    <t>Media</t>
  </si>
  <si>
    <t xml:space="preserve">Deviazione standard</t>
  </si>
  <si>
    <t xml:space="preserve">Distanza (m)</t>
  </si>
  <si>
    <t xml:space="preserve">h (m)</t>
  </si>
  <si>
    <t xml:space="preserve">cateto opposto (m)</t>
  </si>
  <si>
    <t xml:space="preserve">Errore sulla misura (m)</t>
  </si>
  <si>
    <t xml:space="preserve">Errore standard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</si>
</sst>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">
    <font>
      <sz val="11.00000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  <bgColor/>
      </patternFill>
    </fill>
    <fill>
      <patternFill patternType="solid">
        <fgColor theme="5"/>
        <bgColor/>
      </patternFill>
    </fill>
  </fills>
  <borders count="13">
    <border>
      <left/>
      <right/>
      <top/>
      <bottom/>
      <diagonal/>
    </border>
    <border>
      <left style="medium">
        <color/>
      </left>
      <right style="medium">
        <color/>
      </right>
      <top style="medium">
        <color/>
      </top>
      <bottom style="medium">
        <color/>
      </bottom>
      <diagonal/>
    </border>
    <border>
      <left style="medium">
        <color/>
      </left>
      <right/>
      <top style="medium">
        <color/>
      </top>
      <bottom/>
      <diagonal/>
    </border>
    <border>
      <left/>
      <right/>
      <top style="medium">
        <color/>
      </top>
      <bottom/>
      <diagonal/>
    </border>
    <border>
      <left/>
      <right style="medium">
        <color/>
      </right>
      <top style="medium">
        <color/>
      </top>
      <bottom/>
      <diagonal/>
    </border>
    <border>
      <left style="medium">
        <color/>
      </left>
      <right/>
      <top/>
      <bottom style="medium">
        <color/>
      </bottom>
      <diagonal/>
    </border>
    <border>
      <left/>
      <right/>
      <top/>
      <bottom style="medium">
        <color/>
      </bottom>
      <diagonal/>
    </border>
    <border>
      <left/>
      <right style="medium">
        <color/>
      </right>
      <top/>
      <bottom style="medium">
        <color/>
      </bottom>
      <diagonal/>
    </border>
    <border>
      <left style="medium">
        <color/>
      </left>
      <right/>
      <top/>
      <bottom/>
      <diagonal/>
    </border>
    <border>
      <left/>
      <right style="medium">
        <color/>
      </right>
      <top/>
      <bottom/>
      <diagonal/>
    </border>
    <border>
      <left style="medium">
        <color/>
      </left>
      <right style="medium">
        <color/>
      </right>
      <top style="medium">
        <color/>
      </top>
      <bottom/>
      <diagonal/>
    </border>
    <border>
      <left style="medium">
        <color/>
      </left>
      <right style="medium">
        <color/>
      </right>
      <top/>
      <bottom/>
      <diagonal/>
    </border>
    <border>
      <left style="medium">
        <color/>
      </left>
      <right style="medium">
        <color/>
      </right>
      <top/>
      <bottom style="medium">
        <color/>
      </bottom>
      <diagonal/>
    </border>
  </borders>
  <cellStyleXfs count="1">
    <xf fontId="0" fillId="0" borderId="0" numFmtId="0"/>
  </cellStyleXfs>
  <cellXfs count="29">
    <xf fontId="0" fillId="0" borderId="0" numFmtId="0" xfId="0"/>
    <xf fontId="0" fillId="2" borderId="0" numFmtId="0" xfId="0" applyFill="1"/>
    <xf fontId="0" fillId="3" borderId="2" numFmtId="0" xfId="0" applyFill="1" applyBorder="1"/>
    <xf fontId="0" fillId="0" borderId="4" numFmtId="0" xfId="0" applyBorder="1"/>
    <xf fontId="0" fillId="3" borderId="5" numFmtId="0" xfId="0" applyFill="1" applyBorder="1"/>
    <xf fontId="0" fillId="0" borderId="6" numFmtId="0" xfId="0" applyBorder="1"/>
    <xf fontId="0" fillId="0" borderId="7" numFmtId="0" xfId="0" applyBorder="1"/>
    <xf fontId="0" fillId="2" borderId="2" numFmtId="0" xfId="0" applyFill="1" applyBorder="1"/>
    <xf fontId="0" fillId="2" borderId="4" numFmtId="0" xfId="0" applyFill="1" applyBorder="1"/>
    <xf fontId="0" fillId="0" borderId="8" numFmtId="164" xfId="0" applyNumberFormat="1" applyBorder="1"/>
    <xf fontId="0" fillId="0" borderId="9" numFmtId="0" xfId="0" applyBorder="1"/>
    <xf fontId="0" fillId="0" borderId="8" numFmtId="0" xfId="0" applyBorder="1"/>
    <xf fontId="0" fillId="0" borderId="2" numFmtId="0" xfId="0" applyBorder="1"/>
    <xf fontId="0" fillId="0" borderId="5" numFmtId="0" xfId="0" applyBorder="1"/>
    <xf fontId="0" fillId="0" borderId="2" numFmtId="164" xfId="0" applyNumberFormat="1" applyBorder="1"/>
    <xf fontId="0" fillId="0" borderId="4" numFmtId="164" xfId="0" applyNumberFormat="1" applyBorder="1"/>
    <xf fontId="0" fillId="2" borderId="10" numFmtId="0" xfId="0" applyFill="1" applyBorder="1"/>
    <xf fontId="0" fillId="3" borderId="11" numFmtId="0" xfId="0" applyFill="1" applyBorder="1"/>
    <xf fontId="0" fillId="0" borderId="11" numFmtId="0" xfId="0" applyBorder="1"/>
    <xf fontId="0" fillId="3" borderId="1" numFmtId="0" xfId="0" applyFill="1" applyBorder="1"/>
    <xf fontId="0" fillId="3" borderId="10" numFmtId="0" xfId="0" applyFill="1" applyBorder="1"/>
    <xf fontId="0" fillId="3" borderId="12" numFmtId="0" xfId="0" applyFill="1" applyBorder="1"/>
    <xf fontId="0" fillId="3" borderId="3" numFmtId="0" xfId="0" applyFill="1" applyBorder="1"/>
    <xf fontId="0" fillId="3" borderId="4" numFmtId="0" xfId="0" applyFill="1" applyBorder="1"/>
    <xf fontId="0" fillId="2" borderId="3" numFmtId="0" xfId="0" applyFill="1" applyBorder="1"/>
    <xf fontId="0" fillId="0" borderId="0" numFmtId="164" xfId="0" applyNumberFormat="1"/>
    <xf fontId="0" fillId="0" borderId="9" numFmtId="164" xfId="0" applyNumberFormat="1" applyBorder="1"/>
    <xf fontId="0" fillId="0" borderId="6" numFmtId="164" xfId="0" applyNumberFormat="1" applyBorder="1"/>
    <xf fontId="0" fillId="0" borderId="7" numFmtId="164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Arial"/>
        <a:cs typeface="Arial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Arial"/>
        <a:cs typeface="Arial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>
      <selection activeCell="B1" sqref="B1:D2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1</v>
      </c>
      <c r="B1" s="7" t="s">
        <v>0</v>
      </c>
      <c r="C1" s="24" t="s">
        <v>3</v>
      </c>
      <c r="D1" s="8" t="s">
        <v>2</v>
      </c>
    </row>
    <row r="2">
      <c r="A2">
        <v>0.12</v>
      </c>
      <c r="B2" s="11">
        <v>8.0000000000000002e-002</v>
      </c>
      <c r="C2" s="25">
        <v>1.9995000000000001</v>
      </c>
      <c r="D2" s="26">
        <v>1.9543999999999999</v>
      </c>
    </row>
    <row r="3">
      <c r="B3" s="11">
        <v>0.10000000000000001</v>
      </c>
      <c r="C3" s="25">
        <v>1.9843</v>
      </c>
      <c r="D3" s="26">
        <v>1.9044000000000001</v>
      </c>
    </row>
    <row r="4">
      <c r="B4" s="11">
        <v>0.13</v>
      </c>
      <c r="C4" s="25">
        <v>1.9690000000000001</v>
      </c>
      <c r="D4" s="26">
        <v>1.8761000000000001</v>
      </c>
    </row>
    <row r="5">
      <c r="B5" s="11">
        <v>0.16300000000000001</v>
      </c>
      <c r="C5" s="25">
        <v>1.9643999999999999</v>
      </c>
      <c r="D5" s="26">
        <v>1.8714</v>
      </c>
    </row>
    <row r="6">
      <c r="B6" s="11">
        <v>0.19</v>
      </c>
      <c r="C6" s="25">
        <v>1.9528000000000001</v>
      </c>
      <c r="D6" s="26">
        <v>1.8234999999999999</v>
      </c>
    </row>
    <row r="7">
      <c r="B7" s="11">
        <v>0.22</v>
      </c>
      <c r="C7" s="25">
        <v>1.9461999999999999</v>
      </c>
      <c r="D7" s="26">
        <v>1.8037000000000001</v>
      </c>
    </row>
    <row r="8">
      <c r="B8" s="11">
        <v>0.245</v>
      </c>
      <c r="C8" s="25">
        <v>1.9360999999999999</v>
      </c>
      <c r="D8" s="26">
        <v>1.76</v>
      </c>
    </row>
    <row r="9">
      <c r="B9" s="11">
        <v>0.27000000000000002</v>
      </c>
      <c r="C9" s="25">
        <v>1.9354</v>
      </c>
      <c r="D9" s="26">
        <v>1.7618</v>
      </c>
    </row>
    <row r="10">
      <c r="B10" s="11">
        <v>0.30499999999999999</v>
      </c>
      <c r="C10" s="25">
        <v>1.921</v>
      </c>
      <c r="D10" s="26">
        <v>1.7654000000000001</v>
      </c>
    </row>
    <row r="11">
      <c r="B11" s="11">
        <v>0.33700000000000002</v>
      </c>
      <c r="C11" s="25">
        <v>1.9114</v>
      </c>
      <c r="D11" s="26">
        <v>1.7536</v>
      </c>
    </row>
    <row r="12">
      <c r="B12" s="11">
        <v>0.379</v>
      </c>
      <c r="C12" s="25">
        <v>1.903</v>
      </c>
      <c r="D12" s="26">
        <v>1.7468999999999999</v>
      </c>
    </row>
    <row r="13">
      <c r="B13" s="11">
        <v>0.41999999999999998</v>
      </c>
      <c r="C13" s="25">
        <v>1.9016</v>
      </c>
      <c r="D13" s="26">
        <v>1.7565999999999999</v>
      </c>
    </row>
    <row r="14">
      <c r="B14" s="11">
        <v>0.46500000000000002</v>
      </c>
      <c r="C14" s="25">
        <v>1.8985000000000001</v>
      </c>
      <c r="D14" s="26">
        <v>1.7608999999999999</v>
      </c>
    </row>
    <row r="15">
      <c r="B15" s="11">
        <v>0.51000000000000001</v>
      </c>
      <c r="C15" s="25">
        <v>1.8929</v>
      </c>
      <c r="D15" s="26">
        <v>1.7766</v>
      </c>
    </row>
    <row r="16">
      <c r="B16" s="11">
        <v>0.55500000000000005</v>
      </c>
      <c r="C16" s="25">
        <v>1.8799999999999999</v>
      </c>
      <c r="D16" s="26">
        <v>1.7897000000000001</v>
      </c>
    </row>
    <row r="17">
      <c r="B17" s="11">
        <v>0.58999999999999997</v>
      </c>
      <c r="C17" s="25">
        <v>1.8823000000000001</v>
      </c>
      <c r="D17" s="26">
        <v>1.8021</v>
      </c>
    </row>
    <row r="18">
      <c r="B18" s="11">
        <v>0.622</v>
      </c>
      <c r="C18" s="25">
        <v>1.8936999999999999</v>
      </c>
      <c r="D18" s="26">
        <v>1.8011999999999999</v>
      </c>
    </row>
    <row r="19">
      <c r="B19" s="11">
        <v>0.66300000000000003</v>
      </c>
      <c r="C19" s="25">
        <v>1.8996</v>
      </c>
      <c r="D19" s="26">
        <v>1.8382000000000001</v>
      </c>
    </row>
    <row r="20">
      <c r="B20" s="11">
        <v>0.70499999999999996</v>
      </c>
      <c r="C20" s="25">
        <v>1.8989</v>
      </c>
      <c r="D20" s="26">
        <v>1.8492999999999999</v>
      </c>
    </row>
    <row r="21">
      <c r="B21" s="11">
        <v>0.73999999999999999</v>
      </c>
      <c r="C21" s="25">
        <v>1.9069</v>
      </c>
      <c r="D21" s="26">
        <v>1.8694</v>
      </c>
    </row>
    <row r="22">
      <c r="B22" s="11">
        <v>0.77500000000000002</v>
      </c>
      <c r="C22" s="25">
        <v>1.9159999999999999</v>
      </c>
      <c r="D22" s="26">
        <v>1.8993</v>
      </c>
    </row>
    <row r="23">
      <c r="B23" s="11">
        <v>0.81000000000000005</v>
      </c>
      <c r="C23" s="25">
        <v>1.9296</v>
      </c>
      <c r="D23" s="26">
        <v>1.9175</v>
      </c>
    </row>
    <row r="24">
      <c r="B24" s="11">
        <v>0.83799999999999997</v>
      </c>
      <c r="C24" s="25">
        <v>1.9403999999999999</v>
      </c>
      <c r="D24" s="26">
        <v>1.9319</v>
      </c>
    </row>
    <row r="25">
      <c r="B25" s="11">
        <v>0.88200000000000001</v>
      </c>
      <c r="C25" s="25">
        <v>1.9753000000000001</v>
      </c>
      <c r="D25" s="26">
        <v>1.9626999999999999</v>
      </c>
    </row>
    <row r="26">
      <c r="B26" s="11">
        <v>0.91500000000000004</v>
      </c>
      <c r="C26">
        <v>1.9802999999999999</v>
      </c>
      <c r="D26" s="10">
        <v>1.9879</v>
      </c>
    </row>
    <row r="27" ht="14.65">
      <c r="B27" s="13">
        <v>0.92000000000000004</v>
      </c>
      <c r="C27" s="27">
        <v>1.9931000000000001</v>
      </c>
      <c r="D27" s="28">
        <v>1.9933000000000001</v>
      </c>
    </row>
  </sheetData>
  <pageMargins left="0.69999999999999996" right="0.69999999999999996" top="0.75" bottom="0.75" header="0.29999999999999999" footer="0.2999999999999999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0" zoomScaleNormal="110" workbookViewId="0">
      <selection sqref="A1:I13"/>
    </sheetView>
  </sheetViews>
  <sheetFormatPr defaultRowHeight="14.25"/>
  <cols>
    <col bestFit="1" customWidth="1" min="1" max="1" width="22.1328125"/>
    <col bestFit="1" customWidth="1" min="2" max="2" width="15.6640625"/>
    <col bestFit="1" customWidth="1" min="3" max="3" width="18.46484375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ht="14.65">
      <c r="A2" s="17">
        <v>0.91500000000000004</v>
      </c>
      <c r="B2" s="9">
        <v>1.9890000000000001</v>
      </c>
      <c r="C2" s="10">
        <v>1.9834000000000001</v>
      </c>
      <c r="D2" s="17">
        <v>0.92000000000000004</v>
      </c>
      <c r="E2" s="11">
        <v>1.9897</v>
      </c>
      <c r="F2" s="10">
        <v>1.9911000000000001</v>
      </c>
      <c r="G2" s="13">
        <v>1.0049999999999999</v>
      </c>
      <c r="H2" s="5">
        <v>8.9999999999999997e-002</v>
      </c>
      <c r="I2" s="6">
        <v>5.0000000000000001e-003</v>
      </c>
    </row>
    <row r="3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ht="14.6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ht="14.6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ht="14.65">
      <c r="A13" s="21" t="s">
        <v>5</v>
      </c>
      <c r="B13" s="13">
        <f>_xlfn.STDEV.S(B2:B11)</f>
        <v>1.1993053545003578e-003</v>
      </c>
      <c r="C13" s="6">
        <f>_xlfn.STDEV.S(C2:C11)</f>
        <v>2.0965580258021552e-003</v>
      </c>
      <c r="D13" s="4" t="s">
        <v>5</v>
      </c>
      <c r="E13" s="13">
        <f>_xlfn.STDEV.S(E2:E11)</f>
        <v>2.0512597755200563e-003</v>
      </c>
      <c r="F13" s="6">
        <f>_xlfn.STDEV.S(F2:F11)</f>
        <v>2.6234201595118625e-003</v>
      </c>
    </row>
  </sheetData>
  <pageMargins left="0.69999999999999996" right="0.69999999999999996" top="0.75" bottom="0.75" header="0.29999999999999999" footer="0.2999999999999999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abSelected="1" zoomScale="111" workbookViewId="0">
      <selection activeCell="D19" sqref="D19"/>
    </sheetView>
  </sheetViews>
  <sheetFormatPr defaultRowHeight="14.25"/>
  <cols>
    <col bestFit="1" customWidth="1" min="1" max="1" width="22.1328125"/>
    <col bestFit="1" customWidth="1" min="2" max="2" width="13.796875"/>
    <col bestFit="1" customWidth="1" min="3" max="3" width="18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ht="14.65">
      <c r="A2" s="17">
        <v>0.91500000000000004</v>
      </c>
      <c r="B2" s="9">
        <v>1.9890000000000001</v>
      </c>
      <c r="C2" s="10">
        <v>1.9834000000000001</v>
      </c>
      <c r="D2" s="17">
        <v>0.92000000000000004</v>
      </c>
      <c r="E2" s="11">
        <v>1.9897</v>
      </c>
      <c r="F2" s="10">
        <v>1.9911000000000001</v>
      </c>
      <c r="G2" s="13">
        <v>1.0049999999999999</v>
      </c>
      <c r="H2" s="5">
        <v>8.9999999999999997e-002</v>
      </c>
      <c r="I2" s="6">
        <v>5.0000000000000001e-003</v>
      </c>
    </row>
    <row r="3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ht="14.6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ht="14.6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ht="14.65">
      <c r="A13" s="21" t="s">
        <v>5</v>
      </c>
      <c r="B13" s="13">
        <f>_xlfn.STDEV.S(B2:B11)</f>
        <v>1.1993053545003578e-003</v>
      </c>
      <c r="C13" s="6">
        <f>_xlfn.STDEV.S(C2:C11)</f>
        <v>2.0965580258021552e-003</v>
      </c>
      <c r="D13" s="4" t="s">
        <v>5</v>
      </c>
      <c r="E13" s="13">
        <f>_xlfn.STDEV.S(E2:E11)</f>
        <v>2.0512597755200563e-003</v>
      </c>
      <c r="F13" s="6">
        <f>_xlfn.STDEV.S(F2:F11)</f>
        <v>2.6234201595118625e-003</v>
      </c>
    </row>
    <row r="14">
      <c r="A14" t="s">
        <v>10</v>
      </c>
      <c r="B14">
        <f>B13/SQRT(10)</f>
        <v>3.7925365302567999e-004</v>
      </c>
      <c r="C14">
        <f>C13/SQRT(10)</f>
        <v>6.6298986082408758e-004</v>
      </c>
      <c r="D14" t="s">
        <v>10</v>
      </c>
      <c r="E14">
        <f>E13/SQRT(10)</f>
        <v>6.4866529633290785e-004</v>
      </c>
      <c r="F14">
        <f>F13/SQRT(10)</f>
        <v>8.2959829636597285e-004</v>
      </c>
    </row>
  </sheetData>
  <pageMargins left="0.69999999999999996" right="0.69999999999999996" top="0.75" bottom="0.75" header="0.29999999999999999" footer="0.2999999999999999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2026-05-12T11:29:58Z</dcterms:modified>
</cp:coreProperties>
</file>