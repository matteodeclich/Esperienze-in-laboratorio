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eriodi" sheetId="1" state="visible" r:id="rId1"/>
    <sheet name="Intersezione" sheetId="2" state="visible" r:id="rId2"/>
    <sheet name="Caduta libera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<sst xmlns="http://schemas.openxmlformats.org/spreadsheetml/2006/main" count="13" uniqueCount="13">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</sst>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2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none"/>
      <right style="medium">
        <color auto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7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2" borderId="13" numFmtId="0" xfId="0" applyFill="1" applyBorder="1"/>
    <xf fontId="0" fillId="2" borderId="14" numFmtId="0" xfId="0" applyFill="1" applyBorder="1"/>
    <xf fontId="0" fillId="2" borderId="15" numFmtId="0" xfId="0" applyFill="1" applyBorder="1"/>
    <xf fontId="0" fillId="0" borderId="16" numFmtId="0" xfId="0" applyBorder="1"/>
    <xf fontId="0" fillId="0" borderId="17" numFmtId="0" xfId="0" applyBorder="1"/>
    <xf fontId="0" fillId="2" borderId="18" numFmtId="0" xfId="0" applyFill="1" applyBorder="1"/>
    <xf fontId="0" fillId="2" borderId="19" numFmtId="0" xfId="0" applyFill="1" applyBorder="1"/>
    <xf fontId="0" fillId="2" borderId="19" numFmtId="0" xfId="0" applyFill="1" applyBorder="1"/>
    <xf fontId="0" fillId="2" borderId="20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/>
    <xf fontId="0" fillId="3" borderId="26" numFmtId="0" xfId="0" applyFill="1" applyBorder="1"/>
    <xf fontId="0" fillId="3" borderId="5" numFmtId="0" xfId="0" applyFill="1" applyBorder="1"/>
    <xf fontId="0" fillId="3" borderId="27" numFmtId="0" xfId="0" applyFill="1" applyBorder="1"/>
    <xf fontId="0" fillId="3" borderId="8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E24" activeCellId="0" sqref="E24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4" t="s">
        <v>6</v>
      </c>
      <c r="I1" s="15" t="s">
        <v>7</v>
      </c>
    </row>
    <row r="2" ht="14.65">
      <c r="A2" s="16">
        <v>0.91500000000000004</v>
      </c>
      <c r="B2" s="17">
        <v>1.9890000000000001</v>
      </c>
      <c r="C2" s="8">
        <v>1.9834000000000001</v>
      </c>
      <c r="D2" s="16">
        <v>0.92000000000000004</v>
      </c>
      <c r="E2" s="5">
        <v>1.9897</v>
      </c>
      <c r="F2" s="8">
        <v>1.9911000000000001</v>
      </c>
      <c r="G2" s="9">
        <v>1.0049999999999999</v>
      </c>
      <c r="H2" s="18">
        <v>8.9999999999999997e-002</v>
      </c>
      <c r="I2" s="19">
        <v>5.0000000000000001e-003</v>
      </c>
    </row>
    <row r="3">
      <c r="A3" s="20"/>
      <c r="B3" s="5">
        <v>1.9903999999999999</v>
      </c>
      <c r="C3" s="8">
        <v>1.9888999999999999</v>
      </c>
      <c r="D3" s="20"/>
      <c r="E3" s="5">
        <v>1.9885999999999999</v>
      </c>
      <c r="F3" s="8">
        <v>1.9921</v>
      </c>
    </row>
    <row r="4">
      <c r="A4" s="20"/>
      <c r="B4" s="5">
        <v>1.9878</v>
      </c>
      <c r="C4" s="8">
        <v>1.9869000000000001</v>
      </c>
      <c r="D4" s="20"/>
      <c r="E4" s="5">
        <v>1.9895</v>
      </c>
      <c r="F4" s="8">
        <v>1.9892000000000001</v>
      </c>
    </row>
    <row r="5">
      <c r="A5" s="20"/>
      <c r="B5" s="5">
        <v>1.9887999999999999</v>
      </c>
      <c r="C5" s="8">
        <v>1.9882</v>
      </c>
      <c r="D5" s="20"/>
      <c r="E5" s="5">
        <v>1.9890000000000001</v>
      </c>
      <c r="F5" s="8">
        <v>1.9832000000000001</v>
      </c>
    </row>
    <row r="6">
      <c r="A6" s="20"/>
      <c r="B6" s="5">
        <v>1.9905999999999999</v>
      </c>
      <c r="C6" s="8">
        <v>1.9861</v>
      </c>
      <c r="D6" s="20"/>
      <c r="E6" s="5">
        <v>1.9835</v>
      </c>
      <c r="F6" s="8">
        <v>1.9914000000000001</v>
      </c>
    </row>
    <row r="7">
      <c r="A7" s="20"/>
      <c r="B7" s="5">
        <v>1.9893000000000001</v>
      </c>
      <c r="C7" s="8">
        <v>1.99</v>
      </c>
      <c r="D7" s="20"/>
      <c r="E7" s="5">
        <v>1.9898</v>
      </c>
      <c r="F7" s="8">
        <v>1.9901</v>
      </c>
    </row>
    <row r="8">
      <c r="A8" s="20"/>
      <c r="B8" s="5">
        <v>1.9886999999999999</v>
      </c>
      <c r="C8" s="8">
        <v>1.9866999999999999</v>
      </c>
      <c r="D8" s="20"/>
      <c r="E8" s="5">
        <v>1.99</v>
      </c>
      <c r="F8" s="8">
        <v>1.9899</v>
      </c>
    </row>
    <row r="9">
      <c r="A9" s="20"/>
      <c r="B9" s="5">
        <v>1.9869000000000001</v>
      </c>
      <c r="C9" s="8">
        <v>1.9855</v>
      </c>
      <c r="D9" s="20"/>
      <c r="E9" s="5">
        <v>1.9905999999999999</v>
      </c>
      <c r="F9" s="8">
        <v>1.9891000000000001</v>
      </c>
    </row>
    <row r="10">
      <c r="A10" s="20"/>
      <c r="B10" s="5">
        <v>1.9886999999999999</v>
      </c>
      <c r="C10" s="8">
        <v>1.984</v>
      </c>
      <c r="D10" s="20"/>
      <c r="E10" s="5">
        <v>1.9898</v>
      </c>
      <c r="F10" s="8">
        <v>1.9921</v>
      </c>
    </row>
    <row r="11" ht="14.65">
      <c r="A11" s="20"/>
      <c r="B11" s="5">
        <v>1.9873000000000001</v>
      </c>
      <c r="C11" s="8">
        <v>1.9853000000000001</v>
      </c>
      <c r="D11" s="20"/>
      <c r="E11" s="5">
        <v>1.9903999999999999</v>
      </c>
      <c r="F11" s="8">
        <v>1.9881</v>
      </c>
    </row>
    <row r="12" ht="14.65">
      <c r="A12" s="21" t="s">
        <v>8</v>
      </c>
      <c r="B12" s="22">
        <f>AVERAGE(B2:B11)</f>
        <v>1.9887500000000002</v>
      </c>
      <c r="C12" s="23">
        <f>AVERAGE(C2:C11)</f>
        <v>1.9864999999999999</v>
      </c>
      <c r="D12" s="24" t="s">
        <v>8</v>
      </c>
      <c r="E12" s="25">
        <f>AVERAGE(E2:E11)</f>
        <v>1.9890900000000002</v>
      </c>
      <c r="F12" s="26">
        <f>AVERAGE(F2:F11)</f>
        <v>1.98963</v>
      </c>
    </row>
    <row r="13" ht="14.65">
      <c r="A13" s="27" t="s">
        <v>9</v>
      </c>
      <c r="B13" s="9">
        <f>_xlfn.STDEV.S(B2:B11)</f>
        <v>1.1993053545003578e-003</v>
      </c>
      <c r="C13" s="19">
        <f>_xlfn.STDEV.S(C2:C11)</f>
        <v>2.0965580258021552e-003</v>
      </c>
      <c r="D13" s="28" t="s">
        <v>9</v>
      </c>
      <c r="E13" s="9">
        <f>_xlfn.STDEV.S(E2:E11)</f>
        <v>2.0512597755200563e-003</v>
      </c>
      <c r="F13" s="19">
        <f>_xlfn.STDEV.S(F2:F11)</f>
        <v>2.6234201595118625e-003</v>
      </c>
    </row>
    <row r="14">
      <c r="A14" t="s">
        <v>10</v>
      </c>
      <c r="B14">
        <f>B13/SQRT(10)</f>
        <v>3.7925365302567999e-004</v>
      </c>
      <c r="C14">
        <f>C13/SQRT(10)</f>
        <v>6.6298986082408758e-004</v>
      </c>
      <c r="D14" t="s">
        <v>10</v>
      </c>
      <c r="E14">
        <f>E13/SQRT(10)</f>
        <v>6.4866529633290785e-004</v>
      </c>
      <c r="F14">
        <f>F13/SQRT(10)</f>
        <v>8.2959829636597285e-004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0" activeCellId="0" sqref="L20"/>
    </sheetView>
  </sheetViews>
  <sheetFormatPr defaultRowHeight="14.25"/>
  <cols>
    <col bestFit="1" customWidth="1" min="1" max="1" width="10.59765625"/>
    <col bestFit="1" customWidth="1" min="2" max="2" width="11.73046875"/>
    <col bestFit="1" customWidth="1" min="3" max="3" width="10.59765625"/>
    <col bestFit="1" customWidth="1" min="5" max="5" width="10.59765625"/>
    <col bestFit="1" customWidth="1" min="6" max="6" width="11.73046875"/>
    <col customWidth="1" min="7" max="7" width="10.46484375"/>
    <col bestFit="1" customWidth="1" min="8" max="8" width="11.7304687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B2" s="32">
        <v>0.14999999999999999</v>
      </c>
      <c r="C2" s="5">
        <v>0.20000000000000001</v>
      </c>
      <c r="D2" s="5">
        <v>0.25</v>
      </c>
      <c r="E2" s="5">
        <v>0.29999999999999999</v>
      </c>
      <c r="F2" s="5">
        <v>0.34999999999999998</v>
      </c>
      <c r="G2" s="5">
        <v>0.40000000000000002</v>
      </c>
      <c r="H2" s="33">
        <v>0.45000000000000001</v>
      </c>
    </row>
    <row r="3">
      <c r="B3" s="34" t="s">
        <v>11</v>
      </c>
      <c r="C3" s="35" t="s">
        <v>11</v>
      </c>
      <c r="D3" s="36" t="s">
        <v>11</v>
      </c>
      <c r="E3" s="35" t="s">
        <v>11</v>
      </c>
      <c r="F3" s="35" t="s">
        <v>11</v>
      </c>
      <c r="G3" s="35" t="s">
        <v>11</v>
      </c>
      <c r="H3" s="37" t="s">
        <v>11</v>
      </c>
    </row>
    <row r="4">
      <c r="B4" s="38">
        <v>0.14330000000000001</v>
      </c>
      <c r="C4" s="8">
        <v>0.16980000000000001</v>
      </c>
      <c r="D4" s="8">
        <v>0.19339999999999999</v>
      </c>
      <c r="E4" s="8">
        <v>0.21460000000000001</v>
      </c>
      <c r="F4" s="8">
        <v>0.23419999999999999</v>
      </c>
      <c r="G4" s="8">
        <v>0.25280000000000002</v>
      </c>
      <c r="H4" s="39">
        <v>0.27129999999999999</v>
      </c>
    </row>
    <row r="5">
      <c r="B5" s="38">
        <v>0.1434</v>
      </c>
      <c r="C5" s="8">
        <v>0.1716</v>
      </c>
      <c r="D5" s="8">
        <v>0.19320000000000001</v>
      </c>
      <c r="E5" s="8">
        <v>0.215</v>
      </c>
      <c r="F5" s="8">
        <v>0.2344</v>
      </c>
      <c r="G5" s="8">
        <v>0.253</v>
      </c>
      <c r="H5" s="39">
        <v>0.27189999999999998</v>
      </c>
    </row>
    <row r="6">
      <c r="B6" s="38">
        <v>0.14330000000000001</v>
      </c>
      <c r="C6" s="8">
        <v>0.17100000000000001</v>
      </c>
      <c r="D6" s="8">
        <v>0.1933</v>
      </c>
      <c r="E6" s="8">
        <v>0.21490000000000001</v>
      </c>
      <c r="F6" s="8">
        <v>0.23430000000000001</v>
      </c>
      <c r="G6" s="8">
        <v>0.25369999999999998</v>
      </c>
      <c r="H6" s="39">
        <v>0.27210000000000001</v>
      </c>
    </row>
    <row r="7">
      <c r="B7" s="38">
        <v>0.1431</v>
      </c>
      <c r="C7" s="8">
        <v>0.17030000000000001</v>
      </c>
      <c r="D7" s="8">
        <v>0.1933</v>
      </c>
      <c r="E7" s="8">
        <v>0.21479999999999999</v>
      </c>
      <c r="F7" s="8">
        <v>0.23419999999999999</v>
      </c>
      <c r="G7" s="8">
        <v>0.25319999999999998</v>
      </c>
      <c r="H7" s="39">
        <v>0.27079999999999999</v>
      </c>
    </row>
    <row r="8">
      <c r="B8" s="38">
        <v>0.14319999999999999</v>
      </c>
      <c r="C8" s="8">
        <v>0.1706</v>
      </c>
      <c r="D8" s="8">
        <v>0.1933</v>
      </c>
      <c r="E8" s="8">
        <v>0.2152</v>
      </c>
      <c r="F8" s="8">
        <v>0.2344</v>
      </c>
      <c r="G8" s="8">
        <v>0.25359999999999999</v>
      </c>
      <c r="H8" s="39">
        <v>0.27179999999999999</v>
      </c>
    </row>
    <row r="9">
      <c r="B9" s="38">
        <v>0.14330000000000001</v>
      </c>
      <c r="C9" s="8">
        <v>0.1711</v>
      </c>
      <c r="D9" s="8">
        <v>0.19359999999999999</v>
      </c>
      <c r="E9" s="8">
        <v>0.2147</v>
      </c>
      <c r="F9" s="8">
        <v>0.23449999999999999</v>
      </c>
      <c r="G9" s="8">
        <v>0.253</v>
      </c>
      <c r="H9" s="39">
        <v>0.26860000000000001</v>
      </c>
    </row>
    <row r="10" ht="14.65">
      <c r="B10" s="40">
        <v>0.1431</v>
      </c>
      <c r="C10" s="41">
        <v>0.17000000000000001</v>
      </c>
      <c r="D10" s="41">
        <v>0.19359999999999999</v>
      </c>
      <c r="E10" s="41">
        <v>0.21479999999999999</v>
      </c>
      <c r="F10" s="41">
        <v>0.23430000000000001</v>
      </c>
      <c r="G10" s="41">
        <v>0.25340000000000001</v>
      </c>
      <c r="H10" s="42">
        <v>0.26829999999999998</v>
      </c>
    </row>
    <row r="11">
      <c r="A11" s="43" t="s">
        <v>8</v>
      </c>
      <c r="B11" s="44">
        <f>AVERAGE(B4:B10)</f>
        <v>0.14324285714285714</v>
      </c>
      <c r="C11" s="44">
        <f>AVERAGE(C4:C10)</f>
        <v>0.17062857142857141</v>
      </c>
      <c r="D11" s="44">
        <f>AVERAGE(D4:D10)</f>
        <v>0.19338571428571427</v>
      </c>
      <c r="E11" s="44">
        <f>AVERAGE(E4:E10)</f>
        <v>0.21485714285714286</v>
      </c>
      <c r="F11" s="44">
        <f>AVERAGE(F4:F10)</f>
        <v>0.23432857142857141</v>
      </c>
      <c r="G11" s="44">
        <f>AVERAGE(G4:G10)</f>
        <v>0.25324285714285721</v>
      </c>
      <c r="H11" s="44">
        <f>AVERAGE(H4:H10)</f>
        <v>0.27068571428571425</v>
      </c>
    </row>
    <row r="12">
      <c r="A12" s="45" t="s">
        <v>12</v>
      </c>
      <c r="B12" s="46">
        <f>_xlfn.STDEV.S(B4:B10)/SQRT(7)</f>
        <v>4.2857142857143202e-005</v>
      </c>
      <c r="C12" s="46">
        <f>_xlfn.STDEV.S(C4:C10)/SQRT(7)</f>
        <v>2.4369603013188476e-004</v>
      </c>
      <c r="D12" s="46">
        <f>_xlfn.STDEV.S(D4:D10)/SQRT(7)</f>
        <v>5.9476171413316292e-005</v>
      </c>
      <c r="E12" s="46">
        <f>_xlfn.STDEV.S(E4:E10)/SQRT(7)</f>
        <v>7.514158970504462e-005</v>
      </c>
      <c r="F12" s="46">
        <f>_xlfn.STDEV.S(F4:F10)/SQRT(7)</f>
        <v>4.2056004125370102e-005</v>
      </c>
      <c r="G12" s="46">
        <f>_xlfn.STDEV.S(G4:G10)/SQRT(7)</f>
        <v>1.2697420596164739e-004</v>
      </c>
      <c r="H12" s="4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2026-05-12T12:36:56Z</dcterms:modified>
</cp:coreProperties>
</file>