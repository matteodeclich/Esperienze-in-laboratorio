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bit-my.sharepoint.com/personal/m_declich_campus_unimib_it/Documents/Documenti/Università/I° anno/Laboratorio I/Esperienze in laboratorio/"/>
    </mc:Choice>
  </mc:AlternateContent>
  <xr:revisionPtr revIDLastSave="200" documentId="8_{19C89E71-1DD8-47E7-B68E-0E1E8817402E}" xr6:coauthVersionLast="47" xr6:coauthVersionMax="47" xr10:uidLastSave="{4046DB2C-706E-4F93-8F90-7CFAF804AF0B}"/>
  <bookViews>
    <workbookView xWindow="-98" yWindow="-98" windowWidth="21795" windowHeight="12975" activeTab="1" xr2:uid="{3B2BD29B-AF11-4365-A6A6-128F74E5E299}"/>
  </bookViews>
  <sheets>
    <sheet name="Periodi" sheetId="1" r:id="rId1"/>
    <sheet name="Intersezione" sheetId="2" r:id="rId2"/>
    <sheet name="Fogli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2" l="1"/>
  <c r="E13" i="2"/>
  <c r="F12" i="2"/>
  <c r="E12" i="2"/>
  <c r="C13" i="2"/>
  <c r="B13" i="2"/>
  <c r="C12" i="2"/>
  <c r="B12" i="2"/>
</calcChain>
</file>

<file path=xl/sharedStrings.xml><?xml version="1.0" encoding="utf-8"?>
<sst xmlns="http://schemas.openxmlformats.org/spreadsheetml/2006/main" count="17" uniqueCount="10">
  <si>
    <t>Distanza massa interna (m)</t>
  </si>
  <si>
    <t>Distanza massa esterna (m)</t>
  </si>
  <si>
    <t>T2 (massa esterna) (s)</t>
  </si>
  <si>
    <t>T1 (coltello 1) (s)</t>
  </si>
  <si>
    <t>Media</t>
  </si>
  <si>
    <t>Deviazione standard</t>
  </si>
  <si>
    <t>Distanza (m)</t>
  </si>
  <si>
    <t>h (m)</t>
  </si>
  <si>
    <t>cateto opposto (m)</t>
  </si>
  <si>
    <t>Errore sulla misura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</si>
</sst>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66" fontId="0" fillId="0" borderId="0" xfId="0" applyNumberFormat="1"/>
    <xf numFmtId="0" fontId="0" fillId="0" borderId="0" xfId="0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2" borderId="2" xfId="0" applyFill="1" applyBorder="1"/>
    <xf numFmtId="0" fontId="0" fillId="2" borderId="3" xfId="0" applyFill="1" applyBorder="1"/>
    <xf numFmtId="166" fontId="0" fillId="0" borderId="6" xfId="0" applyNumberFormat="1" applyBorder="1"/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4" xfId="0" applyBorder="1"/>
    <xf numFmtId="166" fontId="0" fillId="0" borderId="2" xfId="0" applyNumberFormat="1" applyBorder="1"/>
    <xf numFmtId="166" fontId="0" fillId="0" borderId="3" xfId="0" applyNumberFormat="1" applyBorder="1"/>
    <xf numFmtId="0" fontId="0" fillId="2" borderId="8" xfId="0" applyFill="1" applyBorder="1"/>
    <xf numFmtId="0" fontId="0" fillId="3" borderId="9" xfId="0" applyFill="1" applyBorder="1"/>
    <xf numFmtId="0" fontId="0" fillId="0" borderId="9" xfId="0" applyBorder="1"/>
    <xf numFmtId="0" fontId="0" fillId="3" borderId="1" xfId="0" applyFill="1" applyBorder="1"/>
    <xf numFmtId="0" fontId="0" fillId="3" borderId="8" xfId="0" applyFill="1" applyBorder="1"/>
    <xf numFmtId="0" fontId="0" fillId="3" borderId="10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AEA-104B-451D-928D-16D15628F08A}">
  <dimension ref="A1:D27"/>
  <sheetViews>
    <sheetView topLeftCell="A13" workbookViewId="0">
      <selection activeCell="B25" sqref="B25:D25"/>
    </sheetView>
  </sheetViews>
  <sheetFormatPr defaultRowHeight="14.25" x14ac:dyDescent="0.45"/>
  <cols>
    <col min="1" max="1" width="21.86328125" bestFit="1" customWidth="1"/>
    <col min="2" max="2" width="22.1328125" bestFit="1" customWidth="1"/>
    <col min="3" max="3" width="13.796875" bestFit="1" customWidth="1"/>
    <col min="4" max="4" width="18" bestFit="1" customWidth="1"/>
    <col min="6" max="6" width="9.06640625" customWidth="1"/>
    <col min="7" max="7" width="22.1328125" bestFit="1" customWidth="1"/>
    <col min="8" max="8" width="13.796875" bestFit="1" customWidth="1"/>
    <col min="9" max="9" width="18" bestFit="1" customWidth="1"/>
  </cols>
  <sheetData>
    <row r="1" spans="1:4" x14ac:dyDescent="0.45">
      <c r="A1" s="1" t="s">
        <v>1</v>
      </c>
      <c r="B1" s="1" t="s">
        <v>0</v>
      </c>
      <c r="C1" s="1" t="s">
        <v>3</v>
      </c>
      <c r="D1" s="1" t="s">
        <v>2</v>
      </c>
    </row>
    <row r="2" spans="1:4" x14ac:dyDescent="0.45">
      <c r="A2">
        <v>0.12</v>
      </c>
      <c r="B2">
        <v>0.08</v>
      </c>
      <c r="C2" s="2">
        <v>1.9995000000000001</v>
      </c>
      <c r="D2" s="2">
        <v>1.9543999999999999</v>
      </c>
    </row>
    <row r="3" spans="1:4" x14ac:dyDescent="0.45">
      <c r="B3">
        <v>0.1</v>
      </c>
      <c r="C3" s="2">
        <v>1.9843</v>
      </c>
      <c r="D3" s="2">
        <v>1.9044000000000001</v>
      </c>
    </row>
    <row r="4" spans="1:4" x14ac:dyDescent="0.45">
      <c r="B4">
        <v>0.13</v>
      </c>
      <c r="C4" s="2">
        <v>1.9690000000000001</v>
      </c>
      <c r="D4" s="2">
        <v>1.8761000000000001</v>
      </c>
    </row>
    <row r="5" spans="1:4" x14ac:dyDescent="0.45">
      <c r="B5">
        <v>0.16300000000000001</v>
      </c>
      <c r="C5" s="2">
        <v>1.9643999999999999</v>
      </c>
      <c r="D5" s="2">
        <v>1.8714</v>
      </c>
    </row>
    <row r="6" spans="1:4" x14ac:dyDescent="0.45">
      <c r="B6">
        <v>0.19</v>
      </c>
      <c r="C6" s="2">
        <v>1.9528000000000001</v>
      </c>
      <c r="D6" s="2">
        <v>1.8234999999999999</v>
      </c>
    </row>
    <row r="7" spans="1:4" x14ac:dyDescent="0.45">
      <c r="B7">
        <v>0.22</v>
      </c>
      <c r="C7" s="2">
        <v>1.9461999999999999</v>
      </c>
      <c r="D7" s="2">
        <v>1.8037000000000001</v>
      </c>
    </row>
    <row r="8" spans="1:4" x14ac:dyDescent="0.45">
      <c r="B8">
        <v>0.245</v>
      </c>
      <c r="C8" s="2">
        <v>1.9360999999999999</v>
      </c>
      <c r="D8" s="2">
        <v>1.76</v>
      </c>
    </row>
    <row r="9" spans="1:4" x14ac:dyDescent="0.45">
      <c r="B9">
        <v>0.27</v>
      </c>
      <c r="C9" s="2">
        <v>1.9354</v>
      </c>
      <c r="D9" s="2">
        <v>1.7618</v>
      </c>
    </row>
    <row r="10" spans="1:4" x14ac:dyDescent="0.45">
      <c r="B10">
        <v>0.30499999999999999</v>
      </c>
      <c r="C10" s="2">
        <v>1.921</v>
      </c>
      <c r="D10" s="2">
        <v>1.7654000000000001</v>
      </c>
    </row>
    <row r="11" spans="1:4" x14ac:dyDescent="0.45">
      <c r="B11">
        <v>0.33700000000000002</v>
      </c>
      <c r="C11" s="2">
        <v>1.9114</v>
      </c>
      <c r="D11" s="2">
        <v>1.7536</v>
      </c>
    </row>
    <row r="12" spans="1:4" x14ac:dyDescent="0.45">
      <c r="B12">
        <v>0.379</v>
      </c>
      <c r="C12" s="2">
        <v>1.903</v>
      </c>
      <c r="D12" s="2">
        <v>1.7468999999999999</v>
      </c>
    </row>
    <row r="13" spans="1:4" x14ac:dyDescent="0.45">
      <c r="B13">
        <v>0.42</v>
      </c>
      <c r="C13" s="2">
        <v>1.9016</v>
      </c>
      <c r="D13" s="2">
        <v>1.7565999999999999</v>
      </c>
    </row>
    <row r="14" spans="1:4" x14ac:dyDescent="0.45">
      <c r="B14">
        <v>0.46500000000000002</v>
      </c>
      <c r="C14" s="2">
        <v>1.8985000000000001</v>
      </c>
      <c r="D14" s="2">
        <v>1.7608999999999999</v>
      </c>
    </row>
    <row r="15" spans="1:4" x14ac:dyDescent="0.45">
      <c r="B15">
        <v>0.51</v>
      </c>
      <c r="C15" s="2">
        <v>1.8929</v>
      </c>
      <c r="D15" s="2">
        <v>1.7766</v>
      </c>
    </row>
    <row r="16" spans="1:4" x14ac:dyDescent="0.45">
      <c r="B16">
        <v>0.55500000000000005</v>
      </c>
      <c r="C16" s="2">
        <v>1.88</v>
      </c>
      <c r="D16" s="2">
        <v>1.7897000000000001</v>
      </c>
    </row>
    <row r="17" spans="2:4" x14ac:dyDescent="0.45">
      <c r="B17">
        <v>0.59</v>
      </c>
      <c r="C17" s="2">
        <v>1.8823000000000001</v>
      </c>
      <c r="D17" s="2">
        <v>1.8021</v>
      </c>
    </row>
    <row r="18" spans="2:4" x14ac:dyDescent="0.45">
      <c r="B18">
        <v>0.622</v>
      </c>
      <c r="C18" s="2">
        <v>1.8936999999999999</v>
      </c>
      <c r="D18" s="2">
        <v>1.8011999999999999</v>
      </c>
    </row>
    <row r="19" spans="2:4" x14ac:dyDescent="0.45">
      <c r="B19">
        <v>0.66300000000000003</v>
      </c>
      <c r="C19" s="2">
        <v>1.8996</v>
      </c>
      <c r="D19" s="2">
        <v>1.8382000000000001</v>
      </c>
    </row>
    <row r="20" spans="2:4" x14ac:dyDescent="0.45">
      <c r="B20">
        <v>0.70499999999999996</v>
      </c>
      <c r="C20" s="2">
        <v>1.8989</v>
      </c>
      <c r="D20" s="2">
        <v>1.8492999999999999</v>
      </c>
    </row>
    <row r="21" spans="2:4" x14ac:dyDescent="0.45">
      <c r="B21">
        <v>0.74</v>
      </c>
      <c r="C21" s="2">
        <v>1.9069</v>
      </c>
      <c r="D21" s="2">
        <v>1.8694</v>
      </c>
    </row>
    <row r="22" spans="2:4" x14ac:dyDescent="0.45">
      <c r="B22">
        <v>0.77500000000000002</v>
      </c>
      <c r="C22" s="2">
        <v>1.9159999999999999</v>
      </c>
      <c r="D22" s="2">
        <v>1.8993</v>
      </c>
    </row>
    <row r="23" spans="2:4" x14ac:dyDescent="0.45">
      <c r="B23">
        <v>0.81</v>
      </c>
      <c r="C23" s="2">
        <v>1.9296</v>
      </c>
      <c r="D23" s="2">
        <v>1.9175</v>
      </c>
    </row>
    <row r="24" spans="2:4" x14ac:dyDescent="0.45">
      <c r="B24">
        <v>0.83799999999999997</v>
      </c>
      <c r="C24" s="2">
        <v>1.9403999999999999</v>
      </c>
      <c r="D24" s="2">
        <v>1.9319</v>
      </c>
    </row>
    <row r="25" spans="2:4" x14ac:dyDescent="0.45">
      <c r="B25">
        <v>0.88200000000000001</v>
      </c>
      <c r="C25" s="2">
        <v>1.9753000000000001</v>
      </c>
      <c r="D25" s="2">
        <v>1.9626999999999999</v>
      </c>
    </row>
    <row r="26" spans="2:4" x14ac:dyDescent="0.45">
      <c r="B26">
        <v>0.91500000000000004</v>
      </c>
      <c r="C26">
        <v>1.9802999999999999</v>
      </c>
      <c r="D26">
        <v>1.9879</v>
      </c>
    </row>
    <row r="27" spans="2:4" x14ac:dyDescent="0.45">
      <c r="B27">
        <v>0.92</v>
      </c>
      <c r="C27" s="2">
        <v>1.9931000000000001</v>
      </c>
      <c r="D27" s="2">
        <v>1.9933000000000001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EE30-F3F4-48C6-BC63-D4000596DD25}">
  <dimension ref="A1:I25"/>
  <sheetViews>
    <sheetView tabSelected="1" zoomScale="110" zoomScaleNormal="110" workbookViewId="0">
      <selection activeCell="H13" sqref="H13"/>
    </sheetView>
  </sheetViews>
  <sheetFormatPr defaultRowHeight="14.25" x14ac:dyDescent="0.45"/>
  <cols>
    <col min="1" max="1" width="22.1328125" bestFit="1" customWidth="1"/>
    <col min="2" max="2" width="15.6640625" bestFit="1" customWidth="1"/>
    <col min="3" max="3" width="18.46484375" bestFit="1" customWidth="1"/>
    <col min="4" max="4" width="16.59765625" bestFit="1" customWidth="1"/>
    <col min="5" max="5" width="13.796875" bestFit="1" customWidth="1"/>
    <col min="6" max="6" width="18" bestFit="1" customWidth="1"/>
    <col min="7" max="7" width="5.73046875" bestFit="1" customWidth="1"/>
    <col min="8" max="8" width="15.6640625" bestFit="1" customWidth="1"/>
    <col min="9" max="9" width="18.46484375" bestFit="1" customWidth="1"/>
  </cols>
  <sheetData>
    <row r="1" spans="1:9" x14ac:dyDescent="0.45">
      <c r="A1" s="16" t="s">
        <v>0</v>
      </c>
      <c r="B1" s="7" t="s">
        <v>3</v>
      </c>
      <c r="C1" s="8" t="s">
        <v>2</v>
      </c>
      <c r="D1" s="16" t="s">
        <v>6</v>
      </c>
      <c r="E1" s="7" t="s">
        <v>3</v>
      </c>
      <c r="F1" s="8" t="s">
        <v>2</v>
      </c>
      <c r="G1" t="s">
        <v>7</v>
      </c>
      <c r="H1" t="s">
        <v>8</v>
      </c>
      <c r="I1" t="s">
        <v>9</v>
      </c>
    </row>
    <row r="2" spans="1:9" x14ac:dyDescent="0.45">
      <c r="A2" s="17">
        <v>0.91500000000000004</v>
      </c>
      <c r="B2" s="9">
        <v>1.9890000000000001</v>
      </c>
      <c r="C2" s="10">
        <v>1.9834000000000001</v>
      </c>
      <c r="D2" s="17">
        <v>0.92</v>
      </c>
      <c r="E2" s="11">
        <v>1.9897</v>
      </c>
      <c r="F2" s="10">
        <v>1.9911000000000001</v>
      </c>
      <c r="G2">
        <v>1.0049999999999999</v>
      </c>
      <c r="H2">
        <v>0.09</v>
      </c>
      <c r="I2">
        <v>5.0000000000000001E-3</v>
      </c>
    </row>
    <row r="3" spans="1:9" x14ac:dyDescent="0.45">
      <c r="A3" s="18"/>
      <c r="B3" s="11">
        <v>1.9903999999999999</v>
      </c>
      <c r="C3" s="10">
        <v>1.9888999999999999</v>
      </c>
      <c r="D3" s="18"/>
      <c r="E3" s="11">
        <v>1.9885999999999999</v>
      </c>
      <c r="F3" s="10">
        <v>1.9921</v>
      </c>
    </row>
    <row r="4" spans="1:9" x14ac:dyDescent="0.45">
      <c r="A4" s="18"/>
      <c r="B4" s="11">
        <v>1.9878</v>
      </c>
      <c r="C4" s="10">
        <v>1.9869000000000001</v>
      </c>
      <c r="D4" s="18"/>
      <c r="E4" s="11">
        <v>1.9895</v>
      </c>
      <c r="F4" s="10">
        <v>1.9892000000000001</v>
      </c>
    </row>
    <row r="5" spans="1:9" x14ac:dyDescent="0.45">
      <c r="A5" s="18"/>
      <c r="B5" s="11">
        <v>1.9887999999999999</v>
      </c>
      <c r="C5" s="10">
        <v>1.9882</v>
      </c>
      <c r="D5" s="18"/>
      <c r="E5" s="11">
        <v>1.9890000000000001</v>
      </c>
      <c r="F5" s="10">
        <v>1.9832000000000001</v>
      </c>
    </row>
    <row r="6" spans="1:9" x14ac:dyDescent="0.45">
      <c r="A6" s="18"/>
      <c r="B6" s="11">
        <v>1.9905999999999999</v>
      </c>
      <c r="C6" s="10">
        <v>1.9861</v>
      </c>
      <c r="D6" s="18"/>
      <c r="E6" s="11">
        <v>1.9835</v>
      </c>
      <c r="F6" s="10">
        <v>1.9914000000000001</v>
      </c>
    </row>
    <row r="7" spans="1:9" x14ac:dyDescent="0.45">
      <c r="A7" s="18"/>
      <c r="B7" s="11">
        <v>1.9893000000000001</v>
      </c>
      <c r="C7" s="10">
        <v>1.99</v>
      </c>
      <c r="D7" s="18"/>
      <c r="E7" s="11">
        <v>1.9898</v>
      </c>
      <c r="F7" s="10">
        <v>1.9901</v>
      </c>
    </row>
    <row r="8" spans="1:9" x14ac:dyDescent="0.45">
      <c r="A8" s="18"/>
      <c r="B8" s="11">
        <v>1.9886999999999999</v>
      </c>
      <c r="C8" s="10">
        <v>1.9866999999999999</v>
      </c>
      <c r="D8" s="18"/>
      <c r="E8" s="11">
        <v>1.99</v>
      </c>
      <c r="F8" s="10">
        <v>1.9899</v>
      </c>
    </row>
    <row r="9" spans="1:9" x14ac:dyDescent="0.45">
      <c r="A9" s="18"/>
      <c r="B9" s="11">
        <v>1.9869000000000001</v>
      </c>
      <c r="C9" s="10">
        <v>1.9855</v>
      </c>
      <c r="D9" s="18"/>
      <c r="E9" s="11">
        <v>1.9905999999999999</v>
      </c>
      <c r="F9" s="10">
        <v>1.9891000000000001</v>
      </c>
    </row>
    <row r="10" spans="1:9" x14ac:dyDescent="0.45">
      <c r="A10" s="18"/>
      <c r="B10" s="11">
        <v>1.9886999999999999</v>
      </c>
      <c r="C10" s="10">
        <v>1.984</v>
      </c>
      <c r="D10" s="18"/>
      <c r="E10" s="11">
        <v>1.9898</v>
      </c>
      <c r="F10" s="10">
        <v>1.9921</v>
      </c>
    </row>
    <row r="11" spans="1:9" ht="14.65" thickBot="1" x14ac:dyDescent="0.5">
      <c r="A11" s="18"/>
      <c r="B11" s="11">
        <v>1.9873000000000001</v>
      </c>
      <c r="C11" s="10">
        <v>1.9853000000000001</v>
      </c>
      <c r="D11" s="18"/>
      <c r="E11" s="11">
        <v>1.9903999999999999</v>
      </c>
      <c r="F11" s="10">
        <v>1.9881</v>
      </c>
    </row>
    <row r="12" spans="1:9" ht="14.65" thickBot="1" x14ac:dyDescent="0.5">
      <c r="A12" s="20" t="s">
        <v>4</v>
      </c>
      <c r="B12" s="12">
        <f>AVERAGE(B2:B11)</f>
        <v>1.9887500000000002</v>
      </c>
      <c r="C12" s="4">
        <f>AVERAGE(C2:C11)</f>
        <v>1.9864999999999999</v>
      </c>
      <c r="D12" s="19" t="s">
        <v>4</v>
      </c>
      <c r="E12" s="14">
        <f>AVERAGE(E2:E11)</f>
        <v>1.9890900000000002</v>
      </c>
      <c r="F12" s="15">
        <f>AVERAGE(F2:F11)</f>
        <v>1.98963</v>
      </c>
    </row>
    <row r="13" spans="1:9" ht="14.65" thickBot="1" x14ac:dyDescent="0.5">
      <c r="A13" s="21" t="s">
        <v>5</v>
      </c>
      <c r="B13" s="13">
        <f>_xlfn.STDEV.S(B2:B11)</f>
        <v>1.1993053545003578E-3</v>
      </c>
      <c r="C13" s="6">
        <f>_xlfn.STDEV.S(C2:C11)</f>
        <v>2.0965580258021552E-3</v>
      </c>
      <c r="D13" s="5" t="s">
        <v>5</v>
      </c>
      <c r="E13" s="13">
        <f>_xlfn.STDEV.S(E2:E11)</f>
        <v>2.0512597755200563E-3</v>
      </c>
      <c r="F13" s="6">
        <f>_xlfn.STDEV.S(F2:F11)</f>
        <v>2.6234201595118625E-3</v>
      </c>
    </row>
    <row r="14" spans="1:9" x14ac:dyDescent="0.45">
      <c r="D14" s="3"/>
    </row>
    <row r="15" spans="1:9" x14ac:dyDescent="0.45">
      <c r="D15" s="3"/>
    </row>
    <row r="16" spans="1:9" x14ac:dyDescent="0.45">
      <c r="D16" s="3"/>
    </row>
    <row r="17" spans="4:4" x14ac:dyDescent="0.45">
      <c r="D17" s="3"/>
    </row>
    <row r="18" spans="4:4" x14ac:dyDescent="0.45">
      <c r="D18" s="3"/>
    </row>
    <row r="19" spans="4:4" x14ac:dyDescent="0.45">
      <c r="D19" s="3"/>
    </row>
    <row r="20" spans="4:4" x14ac:dyDescent="0.45">
      <c r="D20" s="3"/>
    </row>
    <row r="21" spans="4:4" x14ac:dyDescent="0.45">
      <c r="D21" s="3"/>
    </row>
    <row r="22" spans="4:4" x14ac:dyDescent="0.45">
      <c r="D22" s="3"/>
    </row>
    <row r="23" spans="4:4" x14ac:dyDescent="0.45">
      <c r="D23" s="3"/>
    </row>
    <row r="24" spans="4:4" x14ac:dyDescent="0.45">
      <c r="D24" s="3"/>
    </row>
    <row r="25" spans="4:4" x14ac:dyDescent="0.45">
      <c r="D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5B1B-A29A-4C04-A627-A0C9CC08624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Periodi</vt:lpstr>
      <vt:lpstr>Intersezione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m.declich@campus.unimib.it</dc:creator>
  <cp:lastModifiedBy>m.declich@campus.unimib.it</cp:lastModifiedBy>
  <dcterms:created xsi:type="dcterms:W3CDTF">2026-05-12T08:51:21Z</dcterms:created>
  <dcterms:modified xsi:type="dcterms:W3CDTF">2026-05-12T10:19:57Z</dcterms:modified>
</cp:coreProperties>
</file>