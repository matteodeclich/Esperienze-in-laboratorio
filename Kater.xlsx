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29" documentId="8_{19C89E71-1DD8-47E7-B68E-0E1E8817402E}" xr6:coauthVersionLast="47" xr6:coauthVersionMax="47" xr10:uidLastSave="{4AF0B120-27C3-4590-8AC1-CB7970C97477}"/>
  <bookViews>
    <workbookView xWindow="-98" yWindow="-98" windowWidth="21795" windowHeight="12975" activeTab="3" xr2:uid="{3B2BD29B-AF11-4365-A6A6-128F74E5E299}"/>
  </bookViews>
  <sheets>
    <sheet name="Periodi" sheetId="1" r:id="rId1"/>
    <sheet name="Intersezione" sheetId="3" r:id="rId2"/>
    <sheet name="Caduta libera" sheetId="4" r:id="rId3"/>
    <sheet name="Foglio1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3" i="5" l="1"/>
  <c r="F14" i="5" s="1"/>
  <c r="E13" i="5"/>
  <c r="E14" i="5" s="1"/>
  <c r="C13" i="5"/>
  <c r="C14" i="5" s="1"/>
  <c r="B13" i="5"/>
  <c r="B14" i="5" s="1"/>
  <c r="F12" i="5"/>
  <c r="E12" i="5"/>
  <c r="C12" i="5"/>
  <c r="B12" i="5"/>
  <c r="F26" i="3"/>
  <c r="F27" i="3" s="1"/>
  <c r="E26" i="3"/>
  <c r="E27" i="3" s="1"/>
  <c r="F25" i="3"/>
  <c r="E25" i="3"/>
  <c r="C26" i="3"/>
  <c r="C27" i="3" s="1"/>
  <c r="B26" i="3"/>
  <c r="B27" i="3" s="1"/>
  <c r="C25" i="3"/>
  <c r="B25" i="3"/>
  <c r="F9" i="4"/>
  <c r="D9" i="4"/>
  <c r="B9" i="4"/>
  <c r="D10" i="4"/>
  <c r="F10" i="4"/>
  <c r="H10" i="4"/>
  <c r="J10" i="4"/>
  <c r="L10" i="4"/>
  <c r="N10" i="4"/>
  <c r="L9" i="4"/>
  <c r="N9" i="4"/>
  <c r="H9" i="4"/>
  <c r="J9" i="4"/>
  <c r="B10" i="4"/>
  <c r="F13" i="3"/>
  <c r="F14" i="3" s="1"/>
  <c r="E13" i="3"/>
  <c r="E14" i="3" s="1"/>
  <c r="C13" i="3"/>
  <c r="C14" i="3" s="1"/>
  <c r="B13" i="3"/>
  <c r="B14" i="3" s="1"/>
  <c r="F12" i="3"/>
  <c r="E12" i="3"/>
  <c r="C12" i="3"/>
  <c r="B12" i="3"/>
</calcChain>
</file>

<file path=xl/sharedStrings.xml><?xml version="1.0" encoding="utf-8"?>
<sst xmlns="http://schemas.openxmlformats.org/spreadsheetml/2006/main" count="67" uniqueCount="14">
  <si>
    <t>Distanza massa interna (m)</t>
  </si>
  <si>
    <t>Distanza massa esterna (m)</t>
  </si>
  <si>
    <t>T2 (massa esterna) (s)</t>
  </si>
  <si>
    <t>T1 (coltello 1) (s)</t>
  </si>
  <si>
    <t>Media</t>
  </si>
  <si>
    <t>Deviazione standard</t>
  </si>
  <si>
    <t>Distanza (m)</t>
  </si>
  <si>
    <t>h (m)</t>
  </si>
  <si>
    <t>cateto opposto (m)</t>
  </si>
  <si>
    <t>Errore sulla misura (m)</t>
  </si>
  <si>
    <t>Errore standard della media</t>
  </si>
  <si>
    <t>Tempi (s)</t>
  </si>
  <si>
    <t>Errore della media</t>
  </si>
  <si>
    <t>1,99071,989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</si>
</sst>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72" formatCode="0.00000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0" fontId="0" fillId="0" borderId="4" xfId="0" applyBorder="1"/>
    <xf numFmtId="0" fontId="0" fillId="3" borderId="5" xfId="0" applyFill="1" applyBorder="1"/>
    <xf numFmtId="0" fontId="0" fillId="0" borderId="6" xfId="0" applyBorder="1"/>
    <xf numFmtId="0" fontId="0" fillId="0" borderId="7" xfId="0" applyBorder="1"/>
    <xf numFmtId="0" fontId="0" fillId="2" borderId="2" xfId="0" applyFill="1" applyBorder="1"/>
    <xf numFmtId="0" fontId="0" fillId="2" borderId="4" xfId="0" applyFill="1" applyBorder="1"/>
    <xf numFmtId="16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164" fontId="0" fillId="0" borderId="2" xfId="0" applyNumberFormat="1" applyBorder="1"/>
    <xf numFmtId="164" fontId="0" fillId="0" borderId="4" xfId="0" applyNumberFormat="1" applyBorder="1"/>
    <xf numFmtId="0" fontId="0" fillId="2" borderId="10" xfId="0" applyFill="1" applyBorder="1"/>
    <xf numFmtId="0" fontId="0" fillId="3" borderId="11" xfId="0" applyFill="1" applyBorder="1"/>
    <xf numFmtId="0" fontId="0" fillId="0" borderId="11" xfId="0" applyBorder="1"/>
    <xf numFmtId="0" fontId="0" fillId="3" borderId="1" xfId="0" applyFill="1" applyBorder="1"/>
    <xf numFmtId="0" fontId="0" fillId="3" borderId="10" xfId="0" applyFill="1" applyBorder="1"/>
    <xf numFmtId="0" fontId="0" fillId="3" borderId="1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3" xfId="0" applyFill="1" applyBorder="1"/>
    <xf numFmtId="164" fontId="0" fillId="0" borderId="0" xfId="0" applyNumberFormat="1"/>
    <xf numFmtId="164" fontId="0" fillId="0" borderId="9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0" fontId="0" fillId="3" borderId="8" xfId="0" applyFill="1" applyBorder="1"/>
    <xf numFmtId="0" fontId="0" fillId="3" borderId="9" xfId="0" applyFill="1" applyBorder="1"/>
    <xf numFmtId="0" fontId="0" fillId="3" borderId="7" xfId="0" applyFill="1" applyBorder="1"/>
    <xf numFmtId="0" fontId="0" fillId="2" borderId="13" xfId="0" applyFill="1" applyBorder="1"/>
    <xf numFmtId="0" fontId="0" fillId="2" borderId="14" xfId="0" applyFill="1" applyBorder="1"/>
    <xf numFmtId="172" fontId="0" fillId="3" borderId="7" xfId="0" applyNumberForma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0AEA-104B-451D-928D-16D15628F08A}">
  <dimension ref="A1:D27"/>
  <sheetViews>
    <sheetView workbookViewId="0">
      <selection activeCell="B1" sqref="B1:D27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1</v>
      </c>
      <c r="B1" s="6" t="s">
        <v>0</v>
      </c>
      <c r="C1" s="23" t="s">
        <v>3</v>
      </c>
      <c r="D1" s="7" t="s">
        <v>2</v>
      </c>
    </row>
    <row r="2" spans="1:4" x14ac:dyDescent="0.45">
      <c r="A2">
        <v>0.12</v>
      </c>
      <c r="B2" s="10">
        <v>0.08</v>
      </c>
      <c r="C2" s="24">
        <v>1.9995000000000001</v>
      </c>
      <c r="D2" s="25">
        <v>1.9543999999999999</v>
      </c>
    </row>
    <row r="3" spans="1:4" x14ac:dyDescent="0.45">
      <c r="B3" s="10">
        <v>0.1</v>
      </c>
      <c r="C3" s="24">
        <v>1.9843</v>
      </c>
      <c r="D3" s="25">
        <v>1.9044000000000001</v>
      </c>
    </row>
    <row r="4" spans="1:4" x14ac:dyDescent="0.45">
      <c r="B4" s="10">
        <v>0.13</v>
      </c>
      <c r="C4" s="24">
        <v>1.9690000000000001</v>
      </c>
      <c r="D4" s="25">
        <v>1.8761000000000001</v>
      </c>
    </row>
    <row r="5" spans="1:4" x14ac:dyDescent="0.45">
      <c r="B5" s="10">
        <v>0.16300000000000001</v>
      </c>
      <c r="C5" s="24">
        <v>1.9643999999999999</v>
      </c>
      <c r="D5" s="25">
        <v>1.8714</v>
      </c>
    </row>
    <row r="6" spans="1:4" x14ac:dyDescent="0.45">
      <c r="B6" s="10">
        <v>0.19</v>
      </c>
      <c r="C6" s="24">
        <v>1.9528000000000001</v>
      </c>
      <c r="D6" s="25">
        <v>1.8234999999999999</v>
      </c>
    </row>
    <row r="7" spans="1:4" x14ac:dyDescent="0.45">
      <c r="B7" s="10">
        <v>0.22</v>
      </c>
      <c r="C7" s="24">
        <v>1.9461999999999999</v>
      </c>
      <c r="D7" s="25">
        <v>1.8037000000000001</v>
      </c>
    </row>
    <row r="8" spans="1:4" x14ac:dyDescent="0.45">
      <c r="B8" s="10">
        <v>0.245</v>
      </c>
      <c r="C8" s="24">
        <v>1.9360999999999999</v>
      </c>
      <c r="D8" s="25">
        <v>1.76</v>
      </c>
    </row>
    <row r="9" spans="1:4" x14ac:dyDescent="0.45">
      <c r="B9" s="10">
        <v>0.27</v>
      </c>
      <c r="C9" s="24">
        <v>1.9354</v>
      </c>
      <c r="D9" s="25">
        <v>1.7618</v>
      </c>
    </row>
    <row r="10" spans="1:4" x14ac:dyDescent="0.45">
      <c r="B10" s="10">
        <v>0.30499999999999999</v>
      </c>
      <c r="C10" s="24">
        <v>1.921</v>
      </c>
      <c r="D10" s="25">
        <v>1.7654000000000001</v>
      </c>
    </row>
    <row r="11" spans="1:4" x14ac:dyDescent="0.45">
      <c r="B11" s="10">
        <v>0.33700000000000002</v>
      </c>
      <c r="C11" s="24">
        <v>1.9114</v>
      </c>
      <c r="D11" s="25">
        <v>1.7536</v>
      </c>
    </row>
    <row r="12" spans="1:4" x14ac:dyDescent="0.45">
      <c r="B12" s="10">
        <v>0.379</v>
      </c>
      <c r="C12" s="24">
        <v>1.903</v>
      </c>
      <c r="D12" s="25">
        <v>1.7468999999999999</v>
      </c>
    </row>
    <row r="13" spans="1:4" x14ac:dyDescent="0.45">
      <c r="B13" s="10">
        <v>0.42</v>
      </c>
      <c r="C13" s="24">
        <v>1.9016</v>
      </c>
      <c r="D13" s="25">
        <v>1.7565999999999999</v>
      </c>
    </row>
    <row r="14" spans="1:4" x14ac:dyDescent="0.45">
      <c r="B14" s="10">
        <v>0.46500000000000002</v>
      </c>
      <c r="C14" s="24">
        <v>1.8985000000000001</v>
      </c>
      <c r="D14" s="25">
        <v>1.7608999999999999</v>
      </c>
    </row>
    <row r="15" spans="1:4" x14ac:dyDescent="0.45">
      <c r="B15" s="10">
        <v>0.51</v>
      </c>
      <c r="C15" s="24">
        <v>1.8929</v>
      </c>
      <c r="D15" s="25">
        <v>1.7766</v>
      </c>
    </row>
    <row r="16" spans="1:4" x14ac:dyDescent="0.45">
      <c r="B16" s="10">
        <v>0.55500000000000005</v>
      </c>
      <c r="C16" s="24">
        <v>1.88</v>
      </c>
      <c r="D16" s="25">
        <v>1.7897000000000001</v>
      </c>
    </row>
    <row r="17" spans="2:4" x14ac:dyDescent="0.45">
      <c r="B17" s="10">
        <v>0.59</v>
      </c>
      <c r="C17" s="24">
        <v>1.8823000000000001</v>
      </c>
      <c r="D17" s="25">
        <v>1.8021</v>
      </c>
    </row>
    <row r="18" spans="2:4" x14ac:dyDescent="0.45">
      <c r="B18" s="10">
        <v>0.622</v>
      </c>
      <c r="C18" s="24">
        <v>1.8936999999999999</v>
      </c>
      <c r="D18" s="25">
        <v>1.8011999999999999</v>
      </c>
    </row>
    <row r="19" spans="2:4" x14ac:dyDescent="0.45">
      <c r="B19" s="10">
        <v>0.66300000000000003</v>
      </c>
      <c r="C19" s="24">
        <v>1.8996</v>
      </c>
      <c r="D19" s="25">
        <v>1.8382000000000001</v>
      </c>
    </row>
    <row r="20" spans="2:4" x14ac:dyDescent="0.45">
      <c r="B20" s="10">
        <v>0.70499999999999996</v>
      </c>
      <c r="C20" s="24">
        <v>1.8989</v>
      </c>
      <c r="D20" s="25">
        <v>1.8492999999999999</v>
      </c>
    </row>
    <row r="21" spans="2:4" x14ac:dyDescent="0.45">
      <c r="B21" s="10">
        <v>0.74</v>
      </c>
      <c r="C21" s="24">
        <v>1.9069</v>
      </c>
      <c r="D21" s="25">
        <v>1.8694</v>
      </c>
    </row>
    <row r="22" spans="2:4" x14ac:dyDescent="0.45">
      <c r="B22" s="10">
        <v>0.77500000000000002</v>
      </c>
      <c r="C22" s="24">
        <v>1.9159999999999999</v>
      </c>
      <c r="D22" s="25">
        <v>1.8993</v>
      </c>
    </row>
    <row r="23" spans="2:4" x14ac:dyDescent="0.45">
      <c r="B23" s="10">
        <v>0.81</v>
      </c>
      <c r="C23" s="24">
        <v>1.9296</v>
      </c>
      <c r="D23" s="25">
        <v>1.9175</v>
      </c>
    </row>
    <row r="24" spans="2:4" x14ac:dyDescent="0.45">
      <c r="B24" s="10">
        <v>0.83799999999999997</v>
      </c>
      <c r="C24" s="24">
        <v>1.9403999999999999</v>
      </c>
      <c r="D24" s="25">
        <v>1.9319</v>
      </c>
    </row>
    <row r="25" spans="2:4" x14ac:dyDescent="0.45">
      <c r="B25" s="10">
        <v>0.88200000000000001</v>
      </c>
      <c r="C25" s="24">
        <v>1.9753000000000001</v>
      </c>
      <c r="D25" s="25">
        <v>1.9626999999999999</v>
      </c>
    </row>
    <row r="26" spans="2:4" x14ac:dyDescent="0.45">
      <c r="B26" s="10">
        <v>0.91500000000000004</v>
      </c>
      <c r="C26">
        <v>1.9802999999999999</v>
      </c>
      <c r="D26" s="9">
        <v>1.9879</v>
      </c>
    </row>
    <row r="27" spans="2:4" ht="14.65" thickBot="1" x14ac:dyDescent="0.5">
      <c r="B27" s="12">
        <v>0.92</v>
      </c>
      <c r="C27" s="26">
        <v>1.9931000000000001</v>
      </c>
      <c r="D27" s="27">
        <v>1.9933000000000001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3B4CE-F596-452E-9DD8-1E4854DB4C41}">
  <dimension ref="A1:I27"/>
  <sheetViews>
    <sheetView zoomScale="111" workbookViewId="0">
      <selection activeCell="F1" sqref="A1:F1"/>
    </sheetView>
  </sheetViews>
  <sheetFormatPr defaultRowHeight="14.25" x14ac:dyDescent="0.45"/>
  <cols>
    <col min="1" max="1" width="22.1328125" bestFit="1" customWidth="1"/>
    <col min="2" max="2" width="13.796875" bestFit="1" customWidth="1"/>
    <col min="3" max="3" width="18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5" t="s">
        <v>0</v>
      </c>
      <c r="B1" s="6" t="s">
        <v>3</v>
      </c>
      <c r="C1" s="7" t="s">
        <v>2</v>
      </c>
      <c r="D1" s="15" t="s">
        <v>6</v>
      </c>
      <c r="E1" s="6" t="s">
        <v>3</v>
      </c>
      <c r="F1" s="7" t="s">
        <v>2</v>
      </c>
      <c r="G1" s="21" t="s">
        <v>7</v>
      </c>
      <c r="H1" s="21" t="s">
        <v>8</v>
      </c>
      <c r="I1" s="22" t="s">
        <v>9</v>
      </c>
    </row>
    <row r="2" spans="1:9" ht="14.65" thickBot="1" x14ac:dyDescent="0.5">
      <c r="A2" s="16">
        <v>0.91500000000000004</v>
      </c>
      <c r="B2" s="8">
        <v>1.9890000000000001</v>
      </c>
      <c r="C2" s="9">
        <v>1.9834000000000001</v>
      </c>
      <c r="D2" s="16">
        <v>0.92</v>
      </c>
      <c r="E2" s="10">
        <v>1.9897</v>
      </c>
      <c r="F2" s="9">
        <v>1.9911000000000001</v>
      </c>
      <c r="G2" s="4">
        <v>1.0049999999999999</v>
      </c>
      <c r="H2" s="4">
        <v>0.09</v>
      </c>
      <c r="I2" s="5">
        <v>5.0000000000000001E-3</v>
      </c>
    </row>
    <row r="3" spans="1:9" x14ac:dyDescent="0.45">
      <c r="A3" s="17"/>
      <c r="B3" s="10">
        <v>1.9903999999999999</v>
      </c>
      <c r="C3" s="9">
        <v>1.9888999999999999</v>
      </c>
      <c r="D3" s="17"/>
      <c r="E3" s="10">
        <v>1.9885999999999999</v>
      </c>
      <c r="F3" s="9">
        <v>1.9921</v>
      </c>
    </row>
    <row r="4" spans="1:9" x14ac:dyDescent="0.45">
      <c r="A4" s="17"/>
      <c r="B4" s="10">
        <v>1.9878</v>
      </c>
      <c r="C4" s="9">
        <v>1.9869000000000001</v>
      </c>
      <c r="D4" s="17"/>
      <c r="E4" s="10">
        <v>1.9895</v>
      </c>
      <c r="F4" s="9">
        <v>1.9892000000000001</v>
      </c>
    </row>
    <row r="5" spans="1:9" x14ac:dyDescent="0.45">
      <c r="A5" s="17"/>
      <c r="B5" s="10">
        <v>1.9887999999999999</v>
      </c>
      <c r="C5" s="9">
        <v>1.9882</v>
      </c>
      <c r="D5" s="17"/>
      <c r="E5" s="10">
        <v>1.9890000000000001</v>
      </c>
      <c r="F5" s="9">
        <v>1.9832000000000001</v>
      </c>
    </row>
    <row r="6" spans="1:9" x14ac:dyDescent="0.45">
      <c r="A6" s="17"/>
      <c r="B6" s="10">
        <v>1.9905999999999999</v>
      </c>
      <c r="C6" s="9">
        <v>1.9861</v>
      </c>
      <c r="D6" s="17"/>
      <c r="E6" s="10">
        <v>1.9835</v>
      </c>
      <c r="F6" s="9">
        <v>1.9914000000000001</v>
      </c>
    </row>
    <row r="7" spans="1:9" x14ac:dyDescent="0.45">
      <c r="A7" s="17"/>
      <c r="B7" s="10">
        <v>1.9893000000000001</v>
      </c>
      <c r="C7" s="9">
        <v>1.99</v>
      </c>
      <c r="D7" s="17"/>
      <c r="E7" s="10">
        <v>1.9898</v>
      </c>
      <c r="F7" s="9">
        <v>1.9901</v>
      </c>
    </row>
    <row r="8" spans="1:9" x14ac:dyDescent="0.45">
      <c r="A8" s="17"/>
      <c r="B8" s="10">
        <v>1.9886999999999999</v>
      </c>
      <c r="C8" s="9">
        <v>1.9866999999999999</v>
      </c>
      <c r="D8" s="17"/>
      <c r="E8" s="10">
        <v>1.99</v>
      </c>
      <c r="F8" s="9">
        <v>1.9899</v>
      </c>
    </row>
    <row r="9" spans="1:9" x14ac:dyDescent="0.45">
      <c r="A9" s="17"/>
      <c r="B9" s="10">
        <v>1.9869000000000001</v>
      </c>
      <c r="C9" s="9">
        <v>1.9855</v>
      </c>
      <c r="D9" s="17"/>
      <c r="E9" s="10">
        <v>1.9905999999999999</v>
      </c>
      <c r="F9" s="9">
        <v>1.9891000000000001</v>
      </c>
    </row>
    <row r="10" spans="1:9" x14ac:dyDescent="0.45">
      <c r="A10" s="17"/>
      <c r="B10" s="10">
        <v>1.9886999999999999</v>
      </c>
      <c r="C10" s="9">
        <v>1.984</v>
      </c>
      <c r="D10" s="17"/>
      <c r="E10" s="10">
        <v>1.9898</v>
      </c>
      <c r="F10" s="9">
        <v>1.9921</v>
      </c>
    </row>
    <row r="11" spans="1:9" ht="14.65" thickBot="1" x14ac:dyDescent="0.5">
      <c r="A11" s="17"/>
      <c r="B11" s="10">
        <v>1.9873000000000001</v>
      </c>
      <c r="C11" s="9">
        <v>1.9853000000000001</v>
      </c>
      <c r="D11" s="17"/>
      <c r="E11" s="10">
        <v>1.9903999999999999</v>
      </c>
      <c r="F11" s="9">
        <v>1.9881</v>
      </c>
    </row>
    <row r="12" spans="1:9" ht="14.65" thickBot="1" x14ac:dyDescent="0.5">
      <c r="A12" s="19" t="s">
        <v>4</v>
      </c>
      <c r="B12" s="11">
        <f>AVERAGE(B2:B11)</f>
        <v>1.9887500000000002</v>
      </c>
      <c r="C12" s="2">
        <f>AVERAGE(C2:C11)</f>
        <v>1.9864999999999999</v>
      </c>
      <c r="D12" s="18" t="s">
        <v>4</v>
      </c>
      <c r="E12" s="13">
        <f>AVERAGE(E2:E11)</f>
        <v>1.9890900000000002</v>
      </c>
      <c r="F12" s="14">
        <f>AVERAGE(F2:F11)</f>
        <v>1.98963</v>
      </c>
    </row>
    <row r="13" spans="1:9" ht="14.65" thickBot="1" x14ac:dyDescent="0.5">
      <c r="A13" s="20" t="s">
        <v>5</v>
      </c>
      <c r="B13" s="12">
        <f>_xlfn.STDEV.S(B2:B11)</f>
        <v>1.1993053545003578E-3</v>
      </c>
      <c r="C13" s="5">
        <f>_xlfn.STDEV.S(C2:C11)</f>
        <v>2.0965580258021552E-3</v>
      </c>
      <c r="D13" s="3" t="s">
        <v>5</v>
      </c>
      <c r="E13" s="12">
        <f>_xlfn.STDEV.S(E2:E11)</f>
        <v>2.0512597755200563E-3</v>
      </c>
      <c r="F13" s="5">
        <f>_xlfn.STDEV.S(F2:F11)</f>
        <v>2.6234201595118625E-3</v>
      </c>
    </row>
    <row r="14" spans="1:9" ht="14.65" thickBot="1" x14ac:dyDescent="0.5">
      <c r="A14" s="12" t="s">
        <v>10</v>
      </c>
      <c r="B14" s="4">
        <f>B13/SQRT(10)</f>
        <v>3.7925365302567999E-4</v>
      </c>
      <c r="C14" s="4">
        <f>C13/SQRT(10)</f>
        <v>6.6298986082408758E-4</v>
      </c>
      <c r="D14" s="4" t="s">
        <v>10</v>
      </c>
      <c r="E14" s="4">
        <f>E13/SQRT(10)</f>
        <v>6.4866529633290785E-4</v>
      </c>
      <c r="F14" s="5">
        <f>F13/SQRT(10)</f>
        <v>8.2959829636597285E-4</v>
      </c>
    </row>
    <row r="15" spans="1:9" x14ac:dyDescent="0.45">
      <c r="A15" s="16">
        <v>0.91500000000000004</v>
      </c>
      <c r="B15" s="8" t="s">
        <v>13</v>
      </c>
      <c r="C15" s="9">
        <v>1.9875</v>
      </c>
      <c r="D15" s="16">
        <v>0.92</v>
      </c>
      <c r="E15" s="10">
        <v>1.9911000000000001</v>
      </c>
      <c r="F15" s="9">
        <v>1.9866999999999999</v>
      </c>
    </row>
    <row r="16" spans="1:9" x14ac:dyDescent="0.45">
      <c r="A16" s="17"/>
      <c r="B16" s="10">
        <v>1.9911000000000001</v>
      </c>
      <c r="C16" s="9">
        <v>1.9873000000000001</v>
      </c>
      <c r="D16" s="17"/>
      <c r="E16" s="10">
        <v>1.9863</v>
      </c>
      <c r="F16" s="9">
        <v>1.9923999999999999</v>
      </c>
    </row>
    <row r="17" spans="1:6" x14ac:dyDescent="0.45">
      <c r="A17" s="17"/>
      <c r="B17" s="10">
        <v>1.9908999999999999</v>
      </c>
      <c r="C17" s="9">
        <v>1.9894000000000001</v>
      </c>
      <c r="D17" s="17"/>
      <c r="E17" s="10">
        <v>1.9910000000000001</v>
      </c>
      <c r="F17" s="9">
        <v>1.9919</v>
      </c>
    </row>
    <row r="18" spans="1:6" x14ac:dyDescent="0.45">
      <c r="A18" s="17"/>
      <c r="B18" s="10">
        <v>1.9919</v>
      </c>
      <c r="C18" s="9">
        <v>1.9890000000000001</v>
      </c>
      <c r="D18" s="17"/>
      <c r="E18" s="10">
        <v>1.9857</v>
      </c>
      <c r="F18" s="9">
        <v>1.9925999999999999</v>
      </c>
    </row>
    <row r="19" spans="1:6" x14ac:dyDescent="0.45">
      <c r="A19" s="17"/>
      <c r="B19" s="10">
        <v>1.9908999999999999</v>
      </c>
      <c r="C19" s="9">
        <v>1.9882</v>
      </c>
      <c r="D19" s="17"/>
      <c r="E19" s="10">
        <v>1.9905999999999999</v>
      </c>
      <c r="F19" s="9">
        <v>1.9903999999999999</v>
      </c>
    </row>
    <row r="20" spans="1:6" x14ac:dyDescent="0.45">
      <c r="A20" s="17"/>
      <c r="B20" s="10">
        <v>1.9906999999999999</v>
      </c>
      <c r="C20" s="9">
        <v>1.9882</v>
      </c>
      <c r="D20" s="17"/>
      <c r="E20" s="10">
        <v>1.9925999999999999</v>
      </c>
      <c r="F20" s="9">
        <v>1.9904999999999999</v>
      </c>
    </row>
    <row r="21" spans="1:6" x14ac:dyDescent="0.45">
      <c r="A21" s="17"/>
      <c r="B21" s="10">
        <v>1.9913000000000001</v>
      </c>
      <c r="C21" s="9">
        <v>1.988</v>
      </c>
      <c r="D21" s="17"/>
      <c r="E21" s="10">
        <v>1.9928999999999999</v>
      </c>
      <c r="F21" s="9">
        <v>1.9907999999999999</v>
      </c>
    </row>
    <row r="22" spans="1:6" x14ac:dyDescent="0.45">
      <c r="A22" s="17"/>
      <c r="B22" s="10">
        <v>1.9904999999999999</v>
      </c>
      <c r="C22" s="9">
        <v>1.9886999999999999</v>
      </c>
      <c r="D22" s="17"/>
      <c r="E22" s="10">
        <v>1.9905999999999999</v>
      </c>
      <c r="F22" s="9">
        <v>1.9937</v>
      </c>
    </row>
    <row r="23" spans="1:6" x14ac:dyDescent="0.45">
      <c r="A23" s="17"/>
      <c r="B23" s="10">
        <v>1.9905999999999999</v>
      </c>
      <c r="C23" s="9">
        <v>1.9879</v>
      </c>
      <c r="D23" s="17"/>
      <c r="E23" s="10">
        <v>1.982</v>
      </c>
      <c r="F23" s="9">
        <v>1.99</v>
      </c>
    </row>
    <row r="24" spans="1:6" ht="14.65" thickBot="1" x14ac:dyDescent="0.5">
      <c r="A24" s="17"/>
      <c r="B24" s="10">
        <v>1.9923</v>
      </c>
      <c r="C24" s="9">
        <v>1.9870000000000001</v>
      </c>
      <c r="D24" s="17"/>
      <c r="E24" s="10">
        <v>1.9910000000000001</v>
      </c>
      <c r="F24" s="9">
        <v>1.9839</v>
      </c>
    </row>
    <row r="25" spans="1:6" ht="14.65" thickBot="1" x14ac:dyDescent="0.5">
      <c r="A25" s="19" t="s">
        <v>4</v>
      </c>
      <c r="B25" s="11">
        <f>AVERAGE(B15:B24)</f>
        <v>1.9911333333333334</v>
      </c>
      <c r="C25" s="2">
        <f>AVERAGE(C15:C24)</f>
        <v>1.9881199999999999</v>
      </c>
      <c r="D25" s="18" t="s">
        <v>4</v>
      </c>
      <c r="E25" s="13">
        <f>AVERAGE(E15:E24)</f>
        <v>1.9893800000000001</v>
      </c>
      <c r="F25" s="14">
        <f>AVERAGE(F15:F24)</f>
        <v>1.9902899999999994</v>
      </c>
    </row>
    <row r="26" spans="1:6" ht="14.65" thickBot="1" x14ac:dyDescent="0.5">
      <c r="A26" s="20" t="s">
        <v>5</v>
      </c>
      <c r="B26" s="12">
        <f>_xlfn.STDEV.S(B15:B24)</f>
        <v>6.0827625302984929E-4</v>
      </c>
      <c r="C26" s="5">
        <f>_xlfn.STDEV.S(C15:C24)</f>
        <v>7.554248252914698E-4</v>
      </c>
      <c r="D26" s="3" t="s">
        <v>5</v>
      </c>
      <c r="E26" s="12">
        <f>_xlfn.STDEV.S(E15:E24)</f>
        <v>3.5187750393819938E-3</v>
      </c>
      <c r="F26" s="5">
        <f>_xlfn.STDEV.S(F15:F24)</f>
        <v>2.9463536787018665E-3</v>
      </c>
    </row>
    <row r="27" spans="1:6" x14ac:dyDescent="0.45">
      <c r="A27" t="s">
        <v>10</v>
      </c>
      <c r="B27">
        <f>B26/SQRT(10)</f>
        <v>1.9235384061672207E-4</v>
      </c>
      <c r="C27">
        <f>C26/SQRT(10)</f>
        <v>2.3888630489558158E-4</v>
      </c>
      <c r="D27" t="s">
        <v>10</v>
      </c>
      <c r="E27">
        <f>E26/SQRT(10)</f>
        <v>1.1127343698195788E-3</v>
      </c>
      <c r="F27">
        <f>F26/SQRT(10)</f>
        <v>9.3171884171138343E-4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1EB1E-FDEB-4EAA-996C-BB53E06F9A9A}">
  <dimension ref="A1:N10"/>
  <sheetViews>
    <sheetView workbookViewId="0">
      <selection sqref="A1:N1"/>
    </sheetView>
  </sheetViews>
  <sheetFormatPr defaultRowHeight="14.25" x14ac:dyDescent="0.45"/>
  <cols>
    <col min="1" max="1" width="10.59765625" bestFit="1" customWidth="1"/>
    <col min="2" max="2" width="21.46484375" bestFit="1" customWidth="1"/>
    <col min="3" max="3" width="10.59765625" bestFit="1" customWidth="1"/>
    <col min="5" max="5" width="10.59765625" bestFit="1" customWidth="1"/>
    <col min="6" max="6" width="11.73046875" bestFit="1" customWidth="1"/>
    <col min="7" max="7" width="10.46484375" customWidth="1"/>
    <col min="8" max="8" width="11.73046875" bestFit="1" customWidth="1"/>
    <col min="9" max="9" width="10.59765625" bestFit="1" customWidth="1"/>
    <col min="10" max="10" width="11.73046875" bestFit="1" customWidth="1"/>
    <col min="11" max="11" width="10.59765625" bestFit="1" customWidth="1"/>
    <col min="12" max="12" width="7.9296875" bestFit="1" customWidth="1"/>
  </cols>
  <sheetData>
    <row r="1" spans="1:14" ht="14.65" thickBot="1" x14ac:dyDescent="0.5">
      <c r="A1" s="31" t="s">
        <v>6</v>
      </c>
      <c r="B1" s="32" t="s">
        <v>11</v>
      </c>
      <c r="C1" s="31" t="s">
        <v>6</v>
      </c>
      <c r="D1" s="32" t="s">
        <v>11</v>
      </c>
      <c r="E1" s="31" t="s">
        <v>6</v>
      </c>
      <c r="F1" s="32" t="s">
        <v>11</v>
      </c>
      <c r="G1" s="31" t="s">
        <v>6</v>
      </c>
      <c r="H1" s="32" t="s">
        <v>11</v>
      </c>
      <c r="I1" s="31" t="s">
        <v>6</v>
      </c>
      <c r="J1" s="32" t="s">
        <v>11</v>
      </c>
      <c r="K1" s="31" t="s">
        <v>6</v>
      </c>
      <c r="L1" s="32" t="s">
        <v>11</v>
      </c>
      <c r="M1" s="31" t="s">
        <v>6</v>
      </c>
      <c r="N1" s="32" t="s">
        <v>11</v>
      </c>
    </row>
    <row r="2" spans="1:14" x14ac:dyDescent="0.45">
      <c r="A2" s="10">
        <v>0.15</v>
      </c>
      <c r="B2" s="9">
        <v>0.14330000000000001</v>
      </c>
      <c r="C2" s="10">
        <v>0.2</v>
      </c>
      <c r="D2" s="9">
        <v>0.16980000000000001</v>
      </c>
      <c r="E2" s="10">
        <v>0.25</v>
      </c>
      <c r="F2" s="9">
        <v>0.19339999999999999</v>
      </c>
      <c r="G2" s="10">
        <v>0.3</v>
      </c>
      <c r="H2" s="9">
        <v>0.21460000000000001</v>
      </c>
      <c r="I2" s="10">
        <v>0.35</v>
      </c>
      <c r="J2" s="9">
        <v>0.23419999999999999</v>
      </c>
      <c r="K2" s="10">
        <v>0.4</v>
      </c>
      <c r="L2" s="9">
        <v>0.25280000000000002</v>
      </c>
      <c r="M2" s="10">
        <v>0.45</v>
      </c>
      <c r="N2" s="9">
        <v>0.27129999999999999</v>
      </c>
    </row>
    <row r="3" spans="1:14" x14ac:dyDescent="0.45">
      <c r="A3" s="10"/>
      <c r="B3" s="9">
        <v>0.1434</v>
      </c>
      <c r="C3" s="10"/>
      <c r="D3" s="9">
        <v>0.1716</v>
      </c>
      <c r="E3" s="10"/>
      <c r="F3" s="9">
        <v>0.19320000000000001</v>
      </c>
      <c r="G3" s="10"/>
      <c r="H3" s="9">
        <v>0.215</v>
      </c>
      <c r="I3" s="10"/>
      <c r="J3" s="9">
        <v>0.2344</v>
      </c>
      <c r="K3" s="10"/>
      <c r="L3" s="9">
        <v>0.253</v>
      </c>
      <c r="M3" s="10"/>
      <c r="N3" s="9">
        <v>0.27189999999999998</v>
      </c>
    </row>
    <row r="4" spans="1:14" x14ac:dyDescent="0.45">
      <c r="A4" s="10"/>
      <c r="B4" s="9">
        <v>0.14330000000000001</v>
      </c>
      <c r="C4" s="10"/>
      <c r="D4" s="9">
        <v>0.17100000000000001</v>
      </c>
      <c r="E4" s="10"/>
      <c r="F4" s="9">
        <v>0.1933</v>
      </c>
      <c r="G4" s="10"/>
      <c r="H4" s="9">
        <v>0.21490000000000001</v>
      </c>
      <c r="I4" s="10"/>
      <c r="J4" s="9">
        <v>0.23430000000000001</v>
      </c>
      <c r="K4" s="10"/>
      <c r="L4" s="9">
        <v>0.25369999999999998</v>
      </c>
      <c r="M4" s="10"/>
      <c r="N4" s="9">
        <v>0.27210000000000001</v>
      </c>
    </row>
    <row r="5" spans="1:14" x14ac:dyDescent="0.45">
      <c r="A5" s="10"/>
      <c r="B5" s="9">
        <v>0.1431</v>
      </c>
      <c r="C5" s="10"/>
      <c r="D5" s="9">
        <v>0.17030000000000001</v>
      </c>
      <c r="E5" s="10"/>
      <c r="F5" s="9">
        <v>0.1933</v>
      </c>
      <c r="G5" s="10"/>
      <c r="H5" s="9">
        <v>0.21479999999999999</v>
      </c>
      <c r="I5" s="10"/>
      <c r="J5" s="9">
        <v>0.23419999999999999</v>
      </c>
      <c r="K5" s="10"/>
      <c r="L5" s="9">
        <v>0.25319999999999998</v>
      </c>
      <c r="M5" s="10"/>
      <c r="N5" s="9">
        <v>0.27079999999999999</v>
      </c>
    </row>
    <row r="6" spans="1:14" x14ac:dyDescent="0.45">
      <c r="A6" s="10"/>
      <c r="B6" s="9">
        <v>0.14319999999999999</v>
      </c>
      <c r="C6" s="10"/>
      <c r="D6" s="9">
        <v>0.1706</v>
      </c>
      <c r="E6" s="10"/>
      <c r="F6" s="9">
        <v>0.1933</v>
      </c>
      <c r="G6" s="10"/>
      <c r="H6" s="9">
        <v>0.2152</v>
      </c>
      <c r="I6" s="10"/>
      <c r="J6" s="9">
        <v>0.2344</v>
      </c>
      <c r="K6" s="10"/>
      <c r="L6" s="9">
        <v>0.25359999999999999</v>
      </c>
      <c r="M6" s="10"/>
      <c r="N6" s="9">
        <v>0.27179999999999999</v>
      </c>
    </row>
    <row r="7" spans="1:14" x14ac:dyDescent="0.45">
      <c r="A7" s="10"/>
      <c r="B7" s="9">
        <v>0.14330000000000001</v>
      </c>
      <c r="C7" s="10"/>
      <c r="D7" s="9">
        <v>0.1711</v>
      </c>
      <c r="E7" s="10"/>
      <c r="F7" s="9">
        <v>0.19359999999999999</v>
      </c>
      <c r="G7" s="10"/>
      <c r="H7" s="9">
        <v>0.2147</v>
      </c>
      <c r="I7" s="10"/>
      <c r="J7" s="9">
        <v>0.23449999999999999</v>
      </c>
      <c r="K7" s="10"/>
      <c r="L7" s="9">
        <v>0.253</v>
      </c>
      <c r="M7" s="10"/>
      <c r="N7" s="9">
        <v>0.26860000000000001</v>
      </c>
    </row>
    <row r="8" spans="1:14" x14ac:dyDescent="0.45">
      <c r="A8" s="10"/>
      <c r="B8" s="9">
        <v>0.1431</v>
      </c>
      <c r="C8" s="10"/>
      <c r="D8" s="9">
        <v>0.17</v>
      </c>
      <c r="E8" s="10"/>
      <c r="F8" s="9">
        <v>0.19359999999999999</v>
      </c>
      <c r="G8" s="10"/>
      <c r="H8" s="9">
        <v>0.21479999999999999</v>
      </c>
      <c r="I8" s="10"/>
      <c r="J8" s="9">
        <v>0.23430000000000001</v>
      </c>
      <c r="K8" s="10"/>
      <c r="L8" s="9">
        <v>0.25340000000000001</v>
      </c>
      <c r="M8" s="10"/>
      <c r="N8" s="9">
        <v>0.26829999999999998</v>
      </c>
    </row>
    <row r="9" spans="1:14" x14ac:dyDescent="0.45">
      <c r="A9" s="28" t="s">
        <v>4</v>
      </c>
      <c r="B9" s="29">
        <f>AVERAGE(B2:B8)</f>
        <v>0.14324285714285714</v>
      </c>
      <c r="C9" s="28" t="s">
        <v>4</v>
      </c>
      <c r="D9" s="29">
        <f>AVERAGE(D2:D8)</f>
        <v>0.17062857142857141</v>
      </c>
      <c r="E9" s="28" t="s">
        <v>4</v>
      </c>
      <c r="F9" s="29">
        <f>AVERAGE(F2:F8)</f>
        <v>0.19338571428571427</v>
      </c>
      <c r="G9" s="28" t="s">
        <v>4</v>
      </c>
      <c r="H9" s="29">
        <f>AVERAGE(H2:H8)</f>
        <v>0.21485714285714286</v>
      </c>
      <c r="I9" s="28" t="s">
        <v>4</v>
      </c>
      <c r="J9" s="29">
        <f t="shared" ref="J9" si="0">AVERAGE(J2:J8)</f>
        <v>0.23432857142857141</v>
      </c>
      <c r="K9" s="28" t="s">
        <v>4</v>
      </c>
      <c r="L9" s="29">
        <f t="shared" ref="L9" si="1">AVERAGE(L2:L8)</f>
        <v>0.25324285714285721</v>
      </c>
      <c r="M9" s="28" t="s">
        <v>4</v>
      </c>
      <c r="N9" s="29">
        <f t="shared" ref="N9" si="2">AVERAGE(N2:N8)</f>
        <v>0.27068571428571425</v>
      </c>
    </row>
    <row r="10" spans="1:14" ht="14.65" thickBot="1" x14ac:dyDescent="0.5">
      <c r="A10" s="3" t="s">
        <v>12</v>
      </c>
      <c r="B10" s="33">
        <f>_xlfn.STDEV.S(B2:B8)/SQRT(7)</f>
        <v>4.2857142857143202E-5</v>
      </c>
      <c r="C10" s="3" t="s">
        <v>12</v>
      </c>
      <c r="D10" s="30">
        <f t="shared" ref="D10" si="3">_xlfn.STDEV.S(D2:D8)/SQRT(7)</f>
        <v>2.4369603013188476E-4</v>
      </c>
      <c r="E10" s="3" t="s">
        <v>12</v>
      </c>
      <c r="F10" s="30">
        <f t="shared" ref="F10" si="4">_xlfn.STDEV.S(F2:F8)/SQRT(7)</f>
        <v>5.9476171413316292E-5</v>
      </c>
      <c r="G10" s="3" t="s">
        <v>12</v>
      </c>
      <c r="H10" s="30">
        <f t="shared" ref="H10" si="5">_xlfn.STDEV.S(H2:H8)/SQRT(7)</f>
        <v>7.514158970504462E-5</v>
      </c>
      <c r="I10" s="3" t="s">
        <v>12</v>
      </c>
      <c r="J10" s="30">
        <f t="shared" ref="J10" si="6">_xlfn.STDEV.S(J2:J8)/SQRT(7)</f>
        <v>4.2056004125370102E-5</v>
      </c>
      <c r="K10" s="3" t="s">
        <v>12</v>
      </c>
      <c r="L10" s="30">
        <f t="shared" ref="L10" si="7">_xlfn.STDEV.S(L2:L8)/SQRT(7)</f>
        <v>1.2697420596164739E-4</v>
      </c>
      <c r="M10" s="3" t="s">
        <v>12</v>
      </c>
      <c r="N10" s="30">
        <f t="shared" ref="N10" si="8">_xlfn.STDEV.S(N2:N8)/SQRT(7)</f>
        <v>6.0056662586997192E-4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248A2-9A8A-40C9-B211-C9A7020F8921}">
  <dimension ref="A1:F14"/>
  <sheetViews>
    <sheetView tabSelected="1" workbookViewId="0">
      <selection activeCell="F26" sqref="F26"/>
    </sheetView>
  </sheetViews>
  <sheetFormatPr defaultRowHeight="14.25" x14ac:dyDescent="0.45"/>
  <cols>
    <col min="1" max="1" width="22.265625" bestFit="1" customWidth="1"/>
    <col min="2" max="3" width="11.73046875" bestFit="1" customWidth="1"/>
    <col min="4" max="4" width="22.265625" bestFit="1" customWidth="1"/>
    <col min="5" max="5" width="13.796875" bestFit="1" customWidth="1"/>
    <col min="6" max="6" width="18" bestFit="1" customWidth="1"/>
  </cols>
  <sheetData>
    <row r="1" spans="1:6" x14ac:dyDescent="0.45">
      <c r="A1" s="15" t="s">
        <v>0</v>
      </c>
      <c r="B1" s="6" t="s">
        <v>3</v>
      </c>
      <c r="C1" s="7" t="s">
        <v>2</v>
      </c>
      <c r="D1" s="15" t="s">
        <v>6</v>
      </c>
      <c r="E1" s="6" t="s">
        <v>3</v>
      </c>
      <c r="F1" s="7" t="s">
        <v>2</v>
      </c>
    </row>
    <row r="2" spans="1:6" x14ac:dyDescent="0.45">
      <c r="A2" s="16">
        <v>0.91500000000000004</v>
      </c>
      <c r="B2" s="8" t="s">
        <v>13</v>
      </c>
      <c r="C2" s="9">
        <v>1.9875</v>
      </c>
      <c r="D2" s="16">
        <v>0.92</v>
      </c>
      <c r="E2" s="10">
        <v>1.9911000000000001</v>
      </c>
      <c r="F2" s="9">
        <v>1.9866999999999999</v>
      </c>
    </row>
    <row r="3" spans="1:6" x14ac:dyDescent="0.45">
      <c r="A3" s="17"/>
      <c r="B3" s="10">
        <v>1.9911000000000001</v>
      </c>
      <c r="C3" s="9">
        <v>1.9873000000000001</v>
      </c>
      <c r="D3" s="17"/>
      <c r="E3" s="10">
        <v>1.9863</v>
      </c>
      <c r="F3" s="9">
        <v>1.9923999999999999</v>
      </c>
    </row>
    <row r="4" spans="1:6" x14ac:dyDescent="0.45">
      <c r="A4" s="17"/>
      <c r="B4" s="10">
        <v>1.9908999999999999</v>
      </c>
      <c r="C4" s="9">
        <v>1.9894000000000001</v>
      </c>
      <c r="D4" s="17"/>
      <c r="E4" s="10">
        <v>1.9910000000000001</v>
      </c>
      <c r="F4" s="9">
        <v>1.9919</v>
      </c>
    </row>
    <row r="5" spans="1:6" x14ac:dyDescent="0.45">
      <c r="A5" s="17"/>
      <c r="B5" s="10">
        <v>1.9919</v>
      </c>
      <c r="C5" s="9">
        <v>1.9890000000000001</v>
      </c>
      <c r="D5" s="17"/>
      <c r="E5" s="10">
        <v>1.9857</v>
      </c>
      <c r="F5" s="9">
        <v>1.9925999999999999</v>
      </c>
    </row>
    <row r="6" spans="1:6" x14ac:dyDescent="0.45">
      <c r="A6" s="17"/>
      <c r="B6" s="10">
        <v>1.9908999999999999</v>
      </c>
      <c r="C6" s="9">
        <v>1.9882</v>
      </c>
      <c r="D6" s="17"/>
      <c r="E6" s="10">
        <v>1.9905999999999999</v>
      </c>
      <c r="F6" s="9">
        <v>1.9903999999999999</v>
      </c>
    </row>
    <row r="7" spans="1:6" x14ac:dyDescent="0.45">
      <c r="A7" s="17"/>
      <c r="B7" s="10">
        <v>1.9906999999999999</v>
      </c>
      <c r="C7" s="9">
        <v>1.9882</v>
      </c>
      <c r="D7" s="17"/>
      <c r="E7" s="10">
        <v>1.9925999999999999</v>
      </c>
      <c r="F7" s="9">
        <v>1.9904999999999999</v>
      </c>
    </row>
    <row r="8" spans="1:6" x14ac:dyDescent="0.45">
      <c r="A8" s="17"/>
      <c r="B8" s="10">
        <v>1.9913000000000001</v>
      </c>
      <c r="C8" s="9">
        <v>1.988</v>
      </c>
      <c r="D8" s="17"/>
      <c r="E8" s="10">
        <v>1.9928999999999999</v>
      </c>
      <c r="F8" s="9">
        <v>1.9907999999999999</v>
      </c>
    </row>
    <row r="9" spans="1:6" x14ac:dyDescent="0.45">
      <c r="A9" s="17"/>
      <c r="B9" s="10">
        <v>1.9904999999999999</v>
      </c>
      <c r="C9" s="9">
        <v>1.9886999999999999</v>
      </c>
      <c r="D9" s="17"/>
      <c r="E9" s="10">
        <v>1.9905999999999999</v>
      </c>
      <c r="F9" s="9">
        <v>1.9937</v>
      </c>
    </row>
    <row r="10" spans="1:6" x14ac:dyDescent="0.45">
      <c r="A10" s="17"/>
      <c r="B10" s="10">
        <v>1.9905999999999999</v>
      </c>
      <c r="C10" s="9">
        <v>1.9879</v>
      </c>
      <c r="D10" s="17"/>
      <c r="E10" s="10">
        <v>1.982</v>
      </c>
      <c r="F10" s="9">
        <v>1.99</v>
      </c>
    </row>
    <row r="11" spans="1:6" ht="14.65" thickBot="1" x14ac:dyDescent="0.5">
      <c r="A11" s="17"/>
      <c r="B11" s="10">
        <v>1.9923</v>
      </c>
      <c r="C11" s="9">
        <v>1.9870000000000001</v>
      </c>
      <c r="D11" s="17"/>
      <c r="E11" s="10">
        <v>1.9910000000000001</v>
      </c>
      <c r="F11" s="9">
        <v>1.9839</v>
      </c>
    </row>
    <row r="12" spans="1:6" ht="14.65" thickBot="1" x14ac:dyDescent="0.5">
      <c r="A12" s="19" t="s">
        <v>4</v>
      </c>
      <c r="B12" s="11">
        <f>AVERAGE(B2:B11)</f>
        <v>1.9911333333333334</v>
      </c>
      <c r="C12" s="2">
        <f>AVERAGE(C2:C11)</f>
        <v>1.9881199999999999</v>
      </c>
      <c r="D12" s="18" t="s">
        <v>4</v>
      </c>
      <c r="E12" s="13">
        <f>AVERAGE(E2:E11)</f>
        <v>1.9893800000000001</v>
      </c>
      <c r="F12" s="14">
        <f>AVERAGE(F2:F11)</f>
        <v>1.9902899999999994</v>
      </c>
    </row>
    <row r="13" spans="1:6" ht="14.65" thickBot="1" x14ac:dyDescent="0.5">
      <c r="A13" s="20" t="s">
        <v>5</v>
      </c>
      <c r="B13" s="12">
        <f>_xlfn.STDEV.S(B2:B11)</f>
        <v>6.0827625302984929E-4</v>
      </c>
      <c r="C13" s="5">
        <f>_xlfn.STDEV.S(C2:C11)</f>
        <v>7.554248252914698E-4</v>
      </c>
      <c r="D13" s="3" t="s">
        <v>5</v>
      </c>
      <c r="E13" s="12">
        <f>_xlfn.STDEV.S(E2:E11)</f>
        <v>3.5187750393819938E-3</v>
      </c>
      <c r="F13" s="5">
        <f>_xlfn.STDEV.S(F2:F11)</f>
        <v>2.9463536787018665E-3</v>
      </c>
    </row>
    <row r="14" spans="1:6" x14ac:dyDescent="0.45">
      <c r="A14" t="s">
        <v>10</v>
      </c>
      <c r="B14">
        <f>B13/SQRT(10)</f>
        <v>1.9235384061672207E-4</v>
      </c>
      <c r="C14">
        <f>C13/SQRT(10)</f>
        <v>2.3888630489558158E-4</v>
      </c>
      <c r="D14" t="s">
        <v>10</v>
      </c>
      <c r="E14">
        <f>E13/SQRT(10)</f>
        <v>1.1127343698195788E-3</v>
      </c>
      <c r="F14">
        <f>F13/SQRT(10)</f>
        <v>9.3171884171138343E-4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Periodi</vt:lpstr>
      <vt:lpstr>Intersezione</vt:lpstr>
      <vt:lpstr>Caduta libera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2026-05-12T14:06:51Z</dcterms:modified>
</cp:coreProperties>
</file>