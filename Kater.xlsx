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eriodi" sheetId="1" state="visible" r:id="rId1"/>
    <sheet name="Intersezione" sheetId="2" state="visible" r:id="rId2"/>
    <sheet name="Foglio1" sheetId="3" state="visible" r:id="rId3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<sst xmlns="http://schemas.openxmlformats.org/spreadsheetml/2006/main" count="11" uniqueCount="11">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</sst>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0"/>
  </numFmts>
  <fonts count="1">
    <font>
      <sz val="11.000000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  <fill>
      <patternFill patternType="solid">
        <fgColor theme="5" tint="0"/>
        <bgColor theme="5" tint="0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34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3" borderId="4" numFmtId="0" xfId="0" applyFill="1" applyBorder="1"/>
    <xf fontId="0" fillId="4" borderId="13" numFmtId="0" xfId="0" applyFill="1" applyBorder="1"/>
    <xf fontId="0" fillId="0" borderId="13" numFmtId="0" xfId="0" applyBorder="1"/>
    <xf fontId="0" fillId="0" borderId="14" numFmtId="0" xfId="0" applyBorder="1"/>
    <xf fontId="0" fillId="4" borderId="15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0" workbookViewId="0">
      <selection activeCell="A1" activeCellId="0" sqref="A1:I13"/>
    </sheetView>
  </sheetViews>
  <sheetFormatPr defaultRowHeight="14.25"/>
  <cols>
    <col bestFit="1" customWidth="1" min="1" max="1" width="22.1328125"/>
    <col bestFit="1" customWidth="1" min="2" max="2" width="15.6640625"/>
    <col bestFit="1" customWidth="1" min="3" max="3" width="18.46484375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4" t="s">
        <v>6</v>
      </c>
      <c r="I1" s="15" t="s">
        <v>7</v>
      </c>
    </row>
    <row r="2" ht="14.65">
      <c r="A2" s="16">
        <v>0.91500000000000004</v>
      </c>
      <c r="B2" s="17">
        <v>1.9890000000000001</v>
      </c>
      <c r="C2" s="8">
        <v>1.9834000000000001</v>
      </c>
      <c r="D2" s="16">
        <v>0.92000000000000004</v>
      </c>
      <c r="E2" s="5">
        <v>1.9897</v>
      </c>
      <c r="F2" s="8">
        <v>1.9911000000000001</v>
      </c>
      <c r="G2" s="9">
        <v>1.0049999999999999</v>
      </c>
      <c r="H2" s="18">
        <v>8.9999999999999997e-002</v>
      </c>
      <c r="I2" s="19">
        <v>5.0000000000000001e-003</v>
      </c>
    </row>
    <row r="3">
      <c r="A3" s="20"/>
      <c r="B3" s="5">
        <v>1.9903999999999999</v>
      </c>
      <c r="C3" s="8">
        <v>1.9888999999999999</v>
      </c>
      <c r="D3" s="20"/>
      <c r="E3" s="5">
        <v>1.9885999999999999</v>
      </c>
      <c r="F3" s="8">
        <v>1.9921</v>
      </c>
    </row>
    <row r="4">
      <c r="A4" s="20"/>
      <c r="B4" s="5">
        <v>1.9878</v>
      </c>
      <c r="C4" s="8">
        <v>1.9869000000000001</v>
      </c>
      <c r="D4" s="20"/>
      <c r="E4" s="5">
        <v>1.9895</v>
      </c>
      <c r="F4" s="8">
        <v>1.9892000000000001</v>
      </c>
    </row>
    <row r="5">
      <c r="A5" s="20"/>
      <c r="B5" s="5">
        <v>1.9887999999999999</v>
      </c>
      <c r="C5" s="8">
        <v>1.9882</v>
      </c>
      <c r="D5" s="20"/>
      <c r="E5" s="5">
        <v>1.9890000000000001</v>
      </c>
      <c r="F5" s="8">
        <v>1.9832000000000001</v>
      </c>
    </row>
    <row r="6">
      <c r="A6" s="20"/>
      <c r="B6" s="5">
        <v>1.9905999999999999</v>
      </c>
      <c r="C6" s="8">
        <v>1.9861</v>
      </c>
      <c r="D6" s="20"/>
      <c r="E6" s="5">
        <v>1.9835</v>
      </c>
      <c r="F6" s="8">
        <v>1.9914000000000001</v>
      </c>
    </row>
    <row r="7">
      <c r="A7" s="20"/>
      <c r="B7" s="5">
        <v>1.9893000000000001</v>
      </c>
      <c r="C7" s="8">
        <v>1.99</v>
      </c>
      <c r="D7" s="20"/>
      <c r="E7" s="5">
        <v>1.9898</v>
      </c>
      <c r="F7" s="8">
        <v>1.9901</v>
      </c>
    </row>
    <row r="8">
      <c r="A8" s="20"/>
      <c r="B8" s="5">
        <v>1.9886999999999999</v>
      </c>
      <c r="C8" s="8">
        <v>1.9866999999999999</v>
      </c>
      <c r="D8" s="20"/>
      <c r="E8" s="5">
        <v>1.99</v>
      </c>
      <c r="F8" s="8">
        <v>1.9899</v>
      </c>
    </row>
    <row r="9">
      <c r="A9" s="20"/>
      <c r="B9" s="5">
        <v>1.9869000000000001</v>
      </c>
      <c r="C9" s="8">
        <v>1.9855</v>
      </c>
      <c r="D9" s="20"/>
      <c r="E9" s="5">
        <v>1.9905999999999999</v>
      </c>
      <c r="F9" s="8">
        <v>1.9891000000000001</v>
      </c>
    </row>
    <row r="10">
      <c r="A10" s="20"/>
      <c r="B10" s="5">
        <v>1.9886999999999999</v>
      </c>
      <c r="C10" s="8">
        <v>1.984</v>
      </c>
      <c r="D10" s="20"/>
      <c r="E10" s="5">
        <v>1.9898</v>
      </c>
      <c r="F10" s="8">
        <v>1.9921</v>
      </c>
    </row>
    <row r="11" ht="14.65">
      <c r="A11" s="20"/>
      <c r="B11" s="5">
        <v>1.9873000000000001</v>
      </c>
      <c r="C11" s="8">
        <v>1.9853000000000001</v>
      </c>
      <c r="D11" s="20"/>
      <c r="E11" s="5">
        <v>1.9903999999999999</v>
      </c>
      <c r="F11" s="8">
        <v>1.9881</v>
      </c>
    </row>
    <row r="12" ht="14.65">
      <c r="A12" s="21" t="s">
        <v>8</v>
      </c>
      <c r="B12" s="22">
        <f>AVERAGE(B2:B11)</f>
        <v>1.9887500000000002</v>
      </c>
      <c r="C12" s="23">
        <f>AVERAGE(C2:C11)</f>
        <v>1.9864999999999999</v>
      </c>
      <c r="D12" s="24" t="s">
        <v>8</v>
      </c>
      <c r="E12" s="25">
        <f>AVERAGE(E2:E11)</f>
        <v>1.9890900000000002</v>
      </c>
      <c r="F12" s="26">
        <f>AVERAGE(F2:F11)</f>
        <v>1.98963</v>
      </c>
    </row>
    <row r="13" ht="14.65">
      <c r="A13" s="27" t="s">
        <v>9</v>
      </c>
      <c r="B13" s="9">
        <f>_xlfn.STDEV.S(B2:B11)</f>
        <v>1.1993053545003578e-003</v>
      </c>
      <c r="C13" s="19">
        <f>_xlfn.STDEV.S(C2:C11)</f>
        <v>2.0965580258021552e-003</v>
      </c>
      <c r="D13" s="28" t="s">
        <v>9</v>
      </c>
      <c r="E13" s="9">
        <f>_xlfn.STDEV.S(E2:E11)</f>
        <v>2.0512597755200563e-003</v>
      </c>
      <c r="F13" s="19">
        <f>_xlfn.STDEV.S(F2:F11)</f>
        <v>2.6234201595118625e-003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D19" activeCellId="0" sqref="D19"/>
    </sheetView>
  </sheetViews>
  <sheetFormatPr defaultRowHeight="14.25"/>
  <cols>
    <col bestFit="1" customWidth="1" min="1" max="1" width="22.875"/>
    <col bestFit="1" customWidth="1" min="2" max="2" width="13.796875"/>
    <col bestFit="1" customWidth="1" min="3" max="3" width="18"/>
    <col bestFit="1" customWidth="1" min="4" max="4" width="22.87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4" t="s">
        <v>6</v>
      </c>
      <c r="I1" s="15" t="s">
        <v>7</v>
      </c>
    </row>
    <row r="2" ht="14.65">
      <c r="A2" s="16">
        <v>0.91500000000000004</v>
      </c>
      <c r="B2" s="17">
        <v>1.9890000000000001</v>
      </c>
      <c r="C2" s="8">
        <v>1.9834000000000001</v>
      </c>
      <c r="D2" s="16">
        <v>0.92000000000000004</v>
      </c>
      <c r="E2" s="5">
        <v>1.9897</v>
      </c>
      <c r="F2" s="8">
        <v>1.9911000000000001</v>
      </c>
      <c r="G2" s="9">
        <v>1.0049999999999999</v>
      </c>
      <c r="H2" s="18">
        <v>8.9999999999999997e-002</v>
      </c>
      <c r="I2" s="19">
        <v>5.0000000000000001e-003</v>
      </c>
    </row>
    <row r="3">
      <c r="A3" s="20"/>
      <c r="B3" s="5">
        <v>1.9903999999999999</v>
      </c>
      <c r="C3" s="8">
        <v>1.9888999999999999</v>
      </c>
      <c r="D3" s="20"/>
      <c r="E3" s="5">
        <v>1.9885999999999999</v>
      </c>
      <c r="F3" s="8">
        <v>1.9921</v>
      </c>
    </row>
    <row r="4">
      <c r="A4" s="20"/>
      <c r="B4" s="5">
        <v>1.9878</v>
      </c>
      <c r="C4" s="8">
        <v>1.9869000000000001</v>
      </c>
      <c r="D4" s="20"/>
      <c r="E4" s="5">
        <v>1.9895</v>
      </c>
      <c r="F4" s="8">
        <v>1.9892000000000001</v>
      </c>
    </row>
    <row r="5">
      <c r="A5" s="20"/>
      <c r="B5" s="5">
        <v>1.9887999999999999</v>
      </c>
      <c r="C5" s="8">
        <v>1.9882</v>
      </c>
      <c r="D5" s="20"/>
      <c r="E5" s="5">
        <v>1.9890000000000001</v>
      </c>
      <c r="F5" s="8">
        <v>1.9832000000000001</v>
      </c>
    </row>
    <row r="6">
      <c r="A6" s="20"/>
      <c r="B6" s="5">
        <v>1.9905999999999999</v>
      </c>
      <c r="C6" s="8">
        <v>1.9861</v>
      </c>
      <c r="D6" s="20"/>
      <c r="E6" s="5">
        <v>1.9835</v>
      </c>
      <c r="F6" s="8">
        <v>1.9914000000000001</v>
      </c>
    </row>
    <row r="7">
      <c r="A7" s="20"/>
      <c r="B7" s="5">
        <v>1.9893000000000001</v>
      </c>
      <c r="C7" s="8">
        <v>1.99</v>
      </c>
      <c r="D7" s="20"/>
      <c r="E7" s="5">
        <v>1.9898</v>
      </c>
      <c r="F7" s="8">
        <v>1.9901</v>
      </c>
    </row>
    <row r="8">
      <c r="A8" s="20"/>
      <c r="B8" s="5">
        <v>1.9886999999999999</v>
      </c>
      <c r="C8" s="8">
        <v>1.9866999999999999</v>
      </c>
      <c r="D8" s="20"/>
      <c r="E8" s="5">
        <v>1.99</v>
      </c>
      <c r="F8" s="8">
        <v>1.9899</v>
      </c>
    </row>
    <row r="9">
      <c r="A9" s="20"/>
      <c r="B9" s="5">
        <v>1.9869000000000001</v>
      </c>
      <c r="C9" s="8">
        <v>1.9855</v>
      </c>
      <c r="D9" s="20"/>
      <c r="E9" s="5">
        <v>1.9905999999999999</v>
      </c>
      <c r="F9" s="8">
        <v>1.9891000000000001</v>
      </c>
    </row>
    <row r="10">
      <c r="A10" s="20"/>
      <c r="B10" s="5">
        <v>1.9886999999999999</v>
      </c>
      <c r="C10" s="8">
        <v>1.984</v>
      </c>
      <c r="D10" s="20"/>
      <c r="E10" s="5">
        <v>1.9898</v>
      </c>
      <c r="F10" s="8">
        <v>1.9921</v>
      </c>
    </row>
    <row r="11" ht="14.65">
      <c r="A11" s="20"/>
      <c r="B11" s="5">
        <v>1.9873000000000001</v>
      </c>
      <c r="C11" s="8">
        <v>1.9853000000000001</v>
      </c>
      <c r="D11" s="20"/>
      <c r="E11" s="5">
        <v>1.9903999999999999</v>
      </c>
      <c r="F11" s="8">
        <v>1.9881</v>
      </c>
    </row>
    <row r="12" ht="14.65">
      <c r="A12" s="21" t="s">
        <v>8</v>
      </c>
      <c r="B12" s="22">
        <f>AVERAGE(B2:B11)</f>
        <v>1.9887500000000002</v>
      </c>
      <c r="C12" s="23">
        <f>AVERAGE(C2:C11)</f>
        <v>1.9864999999999999</v>
      </c>
      <c r="D12" s="24" t="s">
        <v>8</v>
      </c>
      <c r="E12" s="25">
        <f>AVERAGE(E2:E11)</f>
        <v>1.9890900000000002</v>
      </c>
      <c r="F12" s="26">
        <f>AVERAGE(F2:F11)</f>
        <v>1.98963</v>
      </c>
    </row>
    <row r="13" ht="14.65">
      <c r="A13" s="16" t="s">
        <v>9</v>
      </c>
      <c r="B13" s="5">
        <f>_xlfn.STDEV.S(B2:B11)</f>
        <v>1.1993053545003578e-003</v>
      </c>
      <c r="C13" s="8">
        <f>_xlfn.STDEV.S(C2:C11)</f>
        <v>2.0965580258021552e-003</v>
      </c>
      <c r="D13" s="29" t="s">
        <v>9</v>
      </c>
      <c r="E13" s="5">
        <f>_xlfn.STDEV.S(E2:E11)</f>
        <v>2.0512597755200563e-003</v>
      </c>
      <c r="F13" s="8">
        <f>_xlfn.STDEV.S(F2:F11)</f>
        <v>2.6234201595118625e-003</v>
      </c>
    </row>
    <row r="14">
      <c r="A14" s="30" t="s">
        <v>10</v>
      </c>
      <c r="B14" s="31">
        <f>B13/SQRT(10)</f>
        <v>3.7925365302567999e-004</v>
      </c>
      <c r="C14" s="32">
        <f>C13/SQRT(10)</f>
        <v>6.6298986082408758e-004</v>
      </c>
      <c r="D14" s="33" t="s">
        <v>10</v>
      </c>
      <c r="E14" s="31">
        <f>E13/SQRT(10)</f>
        <v>6.4866529633290785e-004</v>
      </c>
      <c r="F14" s="32">
        <f>F13/SQRT(10)</f>
        <v>8.2959829636597285e-004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2026-05-12T08:51:21Z</dcterms:created>
  <dcterms:modified xsi:type="dcterms:W3CDTF">2026-05-12T11:37:55Z</dcterms:modified>
</cp:coreProperties>
</file>