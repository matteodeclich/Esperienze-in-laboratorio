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73" documentId="11_C700E13B90821D89D5081F7B42FE6E6BA95AC510" xr6:coauthVersionLast="47" xr6:coauthVersionMax="47" xr10:uidLastSave="{C716C7CE-B24E-4C30-92B5-1E67B90D7F2D}"/>
  <bookViews>
    <workbookView xWindow="-98" yWindow="-98" windowWidth="21795" windowHeight="12975" activeTab="3" xr2:uid="{00000000-000D-0000-FFFF-FFFF00000000}"/>
  </bookViews>
  <sheets>
    <sheet name="Periodi" sheetId="1" r:id="rId1"/>
    <sheet name="Intersezione" sheetId="2" r:id="rId2"/>
    <sheet name="Caduta libera" sheetId="3" r:id="rId3"/>
    <sheet name="Foglio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4" l="1"/>
  <c r="I14" i="4" s="1"/>
  <c r="H13" i="4"/>
  <c r="H14" i="4" s="1"/>
  <c r="F13" i="4"/>
  <c r="F14" i="4" s="1"/>
  <c r="E13" i="4"/>
  <c r="E14" i="4" s="1"/>
  <c r="C13" i="4"/>
  <c r="C14" i="4" s="1"/>
  <c r="B13" i="4"/>
  <c r="B14" i="4" s="1"/>
  <c r="I12" i="4"/>
  <c r="H12" i="4"/>
  <c r="F12" i="4"/>
  <c r="E12" i="4"/>
  <c r="C12" i="4"/>
  <c r="B12" i="4"/>
  <c r="F13" i="2"/>
  <c r="F14" i="2" s="1"/>
  <c r="E13" i="2"/>
  <c r="E14" i="2" s="1"/>
  <c r="C13" i="2"/>
  <c r="C14" i="2" s="1"/>
  <c r="B13" i="2"/>
  <c r="B14" i="2" s="1"/>
  <c r="F12" i="2"/>
  <c r="E12" i="2"/>
  <c r="C12" i="2"/>
  <c r="B12" i="2"/>
  <c r="H12" i="3"/>
  <c r="G12" i="3"/>
  <c r="F12" i="3"/>
  <c r="E12" i="3"/>
  <c r="D12" i="3"/>
  <c r="C12" i="3"/>
  <c r="B12" i="3"/>
  <c r="H11" i="3"/>
  <c r="G11" i="3"/>
  <c r="F11" i="3"/>
  <c r="E11" i="3"/>
  <c r="D11" i="3"/>
  <c r="C11" i="3"/>
  <c r="B11" i="3"/>
</calcChain>
</file>

<file path=xl/sharedStrings.xml><?xml version="1.0" encoding="utf-8"?>
<sst xmlns="http://schemas.openxmlformats.org/spreadsheetml/2006/main" count="53" uniqueCount="13">
  <si>
    <t>Distanza massa esterna (m)</t>
  </si>
  <si>
    <t>Distanza massa interna (m)</t>
  </si>
  <si>
    <t>T1 (coltello 1) (s)</t>
  </si>
  <si>
    <t>T2 (massa esterna) (s)</t>
  </si>
  <si>
    <t>Distanza (m)</t>
  </si>
  <si>
    <t>h (m)</t>
  </si>
  <si>
    <t>cateto opposto (m)</t>
  </si>
  <si>
    <t>Errore sulla misura (m)</t>
  </si>
  <si>
    <t>Media</t>
  </si>
  <si>
    <t>Deviazione standard</t>
  </si>
  <si>
    <t>Errore standard della media</t>
  </si>
  <si>
    <t>Tempi (s)</t>
  </si>
  <si>
    <t>Errore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</si>
</sst>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77" formatCode="0.000"/>
  </numFmts>
  <fonts count="1" x14ac:knownFonts="1">
    <font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5"/>
      </patternFill>
    </fill>
  </fills>
  <borders count="3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medium">
        <color auto="1"/>
      </right>
      <top style="thin">
        <color theme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theme="1"/>
      </top>
      <bottom style="medium">
        <color auto="1"/>
      </bottom>
      <diagonal/>
    </border>
    <border>
      <left style="medium">
        <color auto="1"/>
      </left>
      <right style="thin">
        <color theme="1"/>
      </right>
      <top style="thin">
        <color theme="1"/>
      </top>
      <bottom style="medium">
        <color auto="1"/>
      </bottom>
      <diagonal/>
    </border>
    <border>
      <left style="thin">
        <color theme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1"/>
      </right>
      <top style="medium">
        <color auto="1"/>
      </top>
      <bottom style="medium">
        <color auto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theme="1"/>
      </right>
      <top style="medium">
        <color auto="1"/>
      </top>
      <bottom/>
      <diagonal/>
    </border>
    <border>
      <left style="thin">
        <color theme="1"/>
      </left>
      <right style="medium">
        <color auto="1"/>
      </right>
      <top/>
      <bottom/>
      <diagonal/>
    </border>
    <border>
      <left style="medium">
        <color auto="1"/>
      </left>
      <right style="thin">
        <color theme="1"/>
      </right>
      <top/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/>
      <bottom style="thin">
        <color theme="1"/>
      </bottom>
      <diagonal/>
    </border>
    <border>
      <left style="medium">
        <color auto="1"/>
      </left>
      <right style="medium">
        <color auto="1"/>
      </right>
      <top/>
      <bottom style="thin">
        <color theme="1"/>
      </bottom>
      <diagonal/>
    </border>
    <border>
      <left style="medium">
        <color auto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medium">
        <color auto="1"/>
      </right>
      <top style="thin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4" xfId="0" applyBorder="1"/>
    <xf numFmtId="164" fontId="0" fillId="0" borderId="0" xfId="0" applyNumberFormat="1"/>
    <xf numFmtId="164" fontId="0" fillId="0" borderId="5" xfId="0" applyNumberFormat="1" applyBorder="1"/>
    <xf numFmtId="0" fontId="0" fillId="0" borderId="5" xfId="0" applyBorder="1"/>
    <xf numFmtId="0" fontId="0" fillId="0" borderId="6" xfId="0" applyBorder="1"/>
    <xf numFmtId="164" fontId="0" fillId="0" borderId="7" xfId="0" applyNumberFormat="1" applyBorder="1"/>
    <xf numFmtId="164" fontId="0" fillId="0" borderId="8" xfId="0" applyNumberFormat="1" applyBorder="1"/>
    <xf numFmtId="0" fontId="0" fillId="2" borderId="9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10" xfId="0" applyFill="1" applyBorder="1"/>
    <xf numFmtId="164" fontId="0" fillId="0" borderId="4" xfId="0" applyNumberFormat="1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0" fillId="3" borderId="9" xfId="0" applyFill="1" applyBorder="1"/>
    <xf numFmtId="0" fontId="0" fillId="0" borderId="3" xfId="0" applyBorder="1"/>
    <xf numFmtId="0" fontId="0" fillId="3" borderId="11" xfId="0" applyFill="1" applyBorder="1"/>
    <xf numFmtId="164" fontId="0" fillId="0" borderId="1" xfId="0" applyNumberFormat="1" applyBorder="1"/>
    <xf numFmtId="164" fontId="0" fillId="0" borderId="3" xfId="0" applyNumberFormat="1" applyBorder="1"/>
    <xf numFmtId="0" fontId="0" fillId="3" borderId="12" xfId="0" applyFill="1" applyBorder="1"/>
    <xf numFmtId="0" fontId="0" fillId="3" borderId="6" xfId="0" applyFill="1" applyBorder="1"/>
    <xf numFmtId="0" fontId="0" fillId="0" borderId="13" xfId="0" applyBorder="1"/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0" fillId="0" borderId="17" xfId="0" applyBorder="1"/>
    <xf numFmtId="0" fontId="0" fillId="0" borderId="12" xfId="0" applyBorder="1"/>
    <xf numFmtId="0" fontId="0" fillId="0" borderId="18" xfId="0" applyBorder="1"/>
    <xf numFmtId="0" fontId="0" fillId="2" borderId="19" xfId="0" applyFill="1" applyBorder="1"/>
    <xf numFmtId="0" fontId="0" fillId="2" borderId="11" xfId="0" applyFill="1" applyBorder="1"/>
    <xf numFmtId="0" fontId="0" fillId="2" borderId="20" xfId="0" applyFill="1" applyBorder="1"/>
    <xf numFmtId="0" fontId="0" fillId="0" borderId="21" xfId="0" applyBorder="1"/>
    <xf numFmtId="0" fontId="0" fillId="0" borderId="9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3" borderId="29" xfId="0" applyFill="1" applyBorder="1"/>
    <xf numFmtId="0" fontId="0" fillId="3" borderId="32" xfId="0" applyFill="1" applyBorder="1"/>
    <xf numFmtId="164" fontId="0" fillId="3" borderId="30" xfId="0" applyNumberFormat="1" applyFill="1" applyBorder="1"/>
    <xf numFmtId="164" fontId="0" fillId="3" borderId="8" xfId="0" applyNumberFormat="1" applyFill="1" applyBorder="1"/>
    <xf numFmtId="164" fontId="0" fillId="3" borderId="12" xfId="0" applyNumberFormat="1" applyFill="1" applyBorder="1"/>
    <xf numFmtId="164" fontId="0" fillId="3" borderId="31" xfId="0" applyNumberFormat="1" applyFill="1" applyBorder="1"/>
    <xf numFmtId="164" fontId="0" fillId="0" borderId="6" xfId="0" applyNumberFormat="1" applyBorder="1"/>
    <xf numFmtId="177" fontId="0" fillId="0" borderId="4" xfId="0" applyNumberFormat="1" applyBorder="1"/>
    <xf numFmtId="177" fontId="0" fillId="0" borderId="5" xfId="0" applyNumberFormat="1" applyBorder="1"/>
    <xf numFmtId="2" fontId="0" fillId="0" borderId="8" xfId="0" applyNumberFormat="1" applyBorder="1"/>
    <xf numFmtId="164" fontId="0" fillId="3" borderId="11" xfId="0" applyNumberFormat="1" applyFill="1" applyBorder="1"/>
    <xf numFmtId="164" fontId="0" fillId="3" borderId="9" xfId="0" applyNumberFormat="1" applyFill="1" applyBorder="1"/>
    <xf numFmtId="164" fontId="0" fillId="3" borderId="6" xfId="0" applyNumberFormat="1" applyFill="1" applyBorder="1"/>
    <xf numFmtId="164" fontId="0" fillId="0" borderId="10" xfId="0" applyNumberFormat="1" applyBorder="1"/>
    <xf numFmtId="164" fontId="0" fillId="3" borderId="10" xfId="0" applyNumberForma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7"/>
  <sheetViews>
    <sheetView workbookViewId="0">
      <selection activeCell="E7" sqref="E7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0</v>
      </c>
      <c r="B1" s="2" t="s">
        <v>1</v>
      </c>
      <c r="C1" s="3" t="s">
        <v>2</v>
      </c>
      <c r="D1" s="4" t="s">
        <v>3</v>
      </c>
    </row>
    <row r="2" spans="1:4" x14ac:dyDescent="0.45">
      <c r="A2">
        <v>0.12</v>
      </c>
      <c r="B2" s="5">
        <v>0.08</v>
      </c>
      <c r="C2" s="6">
        <v>1.9995000000000001</v>
      </c>
      <c r="D2" s="7">
        <v>1.9543999999999999</v>
      </c>
    </row>
    <row r="3" spans="1:4" x14ac:dyDescent="0.45">
      <c r="B3" s="5">
        <v>0.1</v>
      </c>
      <c r="C3" s="6">
        <v>1.9843</v>
      </c>
      <c r="D3" s="7">
        <v>1.9044000000000001</v>
      </c>
    </row>
    <row r="4" spans="1:4" x14ac:dyDescent="0.45">
      <c r="B4" s="5">
        <v>0.13</v>
      </c>
      <c r="C4" s="6">
        <v>1.9690000000000001</v>
      </c>
      <c r="D4" s="7">
        <v>1.8761000000000001</v>
      </c>
    </row>
    <row r="5" spans="1:4" x14ac:dyDescent="0.45">
      <c r="B5" s="5">
        <v>0.16300000000000001</v>
      </c>
      <c r="C5" s="6">
        <v>1.9643999999999999</v>
      </c>
      <c r="D5" s="7">
        <v>1.8714</v>
      </c>
    </row>
    <row r="6" spans="1:4" x14ac:dyDescent="0.45">
      <c r="B6" s="5">
        <v>0.19</v>
      </c>
      <c r="C6" s="6">
        <v>1.9528000000000001</v>
      </c>
      <c r="D6" s="7">
        <v>1.8234999999999999</v>
      </c>
    </row>
    <row r="7" spans="1:4" x14ac:dyDescent="0.45">
      <c r="B7" s="5">
        <v>0.22</v>
      </c>
      <c r="C7" s="6">
        <v>1.9461999999999999</v>
      </c>
      <c r="D7" s="7">
        <v>1.8037000000000001</v>
      </c>
    </row>
    <row r="8" spans="1:4" x14ac:dyDescent="0.45">
      <c r="B8" s="5">
        <v>0.245</v>
      </c>
      <c r="C8" s="6">
        <v>1.9360999999999999</v>
      </c>
      <c r="D8" s="7">
        <v>1.76</v>
      </c>
    </row>
    <row r="9" spans="1:4" x14ac:dyDescent="0.45">
      <c r="B9" s="5">
        <v>0.27</v>
      </c>
      <c r="C9" s="6">
        <v>1.9354</v>
      </c>
      <c r="D9" s="7">
        <v>1.7618</v>
      </c>
    </row>
    <row r="10" spans="1:4" x14ac:dyDescent="0.45">
      <c r="B10" s="5">
        <v>0.30499999999999999</v>
      </c>
      <c r="C10" s="6">
        <v>1.921</v>
      </c>
      <c r="D10" s="7">
        <v>1.7654000000000001</v>
      </c>
    </row>
    <row r="11" spans="1:4" x14ac:dyDescent="0.45">
      <c r="B11" s="5">
        <v>0.33700000000000002</v>
      </c>
      <c r="C11" s="6">
        <v>1.9114</v>
      </c>
      <c r="D11" s="7">
        <v>1.7536</v>
      </c>
    </row>
    <row r="12" spans="1:4" x14ac:dyDescent="0.45">
      <c r="B12" s="5">
        <v>0.379</v>
      </c>
      <c r="C12" s="6">
        <v>1.903</v>
      </c>
      <c r="D12" s="7">
        <v>1.7468999999999999</v>
      </c>
    </row>
    <row r="13" spans="1:4" x14ac:dyDescent="0.45">
      <c r="B13" s="5">
        <v>0.42</v>
      </c>
      <c r="C13" s="6">
        <v>1.9016</v>
      </c>
      <c r="D13" s="7">
        <v>1.7565999999999999</v>
      </c>
    </row>
    <row r="14" spans="1:4" x14ac:dyDescent="0.45">
      <c r="B14" s="5">
        <v>0.46500000000000002</v>
      </c>
      <c r="C14" s="6">
        <v>1.8985000000000001</v>
      </c>
      <c r="D14" s="7">
        <v>1.7608999999999999</v>
      </c>
    </row>
    <row r="15" spans="1:4" x14ac:dyDescent="0.45">
      <c r="B15" s="5">
        <v>0.51</v>
      </c>
      <c r="C15" s="6">
        <v>1.8929</v>
      </c>
      <c r="D15" s="7">
        <v>1.7766</v>
      </c>
    </row>
    <row r="16" spans="1:4" x14ac:dyDescent="0.45">
      <c r="B16" s="5">
        <v>0.55500000000000005</v>
      </c>
      <c r="C16" s="6">
        <v>1.88</v>
      </c>
      <c r="D16" s="7">
        <v>1.7897000000000001</v>
      </c>
    </row>
    <row r="17" spans="2:4" x14ac:dyDescent="0.45">
      <c r="B17" s="5">
        <v>0.59</v>
      </c>
      <c r="C17" s="6">
        <v>1.8823000000000001</v>
      </c>
      <c r="D17" s="7">
        <v>1.8021</v>
      </c>
    </row>
    <row r="18" spans="2:4" x14ac:dyDescent="0.45">
      <c r="B18" s="5">
        <v>0.622</v>
      </c>
      <c r="C18" s="6">
        <v>1.8936999999999999</v>
      </c>
      <c r="D18" s="7">
        <v>1.8011999999999999</v>
      </c>
    </row>
    <row r="19" spans="2:4" x14ac:dyDescent="0.45">
      <c r="B19" s="5">
        <v>0.66300000000000003</v>
      </c>
      <c r="C19" s="6">
        <v>1.8996</v>
      </c>
      <c r="D19" s="7">
        <v>1.8382000000000001</v>
      </c>
    </row>
    <row r="20" spans="2:4" x14ac:dyDescent="0.45">
      <c r="B20" s="5">
        <v>0.70499999999999996</v>
      </c>
      <c r="C20" s="6">
        <v>1.8989</v>
      </c>
      <c r="D20" s="7">
        <v>1.8492999999999999</v>
      </c>
    </row>
    <row r="21" spans="2:4" x14ac:dyDescent="0.45">
      <c r="B21" s="5">
        <v>0.74</v>
      </c>
      <c r="C21" s="6">
        <v>1.9069</v>
      </c>
      <c r="D21" s="7">
        <v>1.8694</v>
      </c>
    </row>
    <row r="22" spans="2:4" x14ac:dyDescent="0.45">
      <c r="B22" s="5">
        <v>0.77500000000000002</v>
      </c>
      <c r="C22" s="6">
        <v>1.9159999999999999</v>
      </c>
      <c r="D22" s="7">
        <v>1.8993</v>
      </c>
    </row>
    <row r="23" spans="2:4" x14ac:dyDescent="0.45">
      <c r="B23" s="5">
        <v>0.81</v>
      </c>
      <c r="C23" s="6">
        <v>1.9296</v>
      </c>
      <c r="D23" s="7">
        <v>1.9175</v>
      </c>
    </row>
    <row r="24" spans="2:4" x14ac:dyDescent="0.45">
      <c r="B24" s="5">
        <v>0.83799999999999997</v>
      </c>
      <c r="C24" s="6">
        <v>1.9403999999999999</v>
      </c>
      <c r="D24" s="7">
        <v>1.9319</v>
      </c>
    </row>
    <row r="25" spans="2:4" x14ac:dyDescent="0.45">
      <c r="B25" s="5">
        <v>0.88200000000000001</v>
      </c>
      <c r="C25" s="6">
        <v>1.9753000000000001</v>
      </c>
      <c r="D25" s="7">
        <v>1.9626999999999999</v>
      </c>
    </row>
    <row r="26" spans="2:4" x14ac:dyDescent="0.45">
      <c r="B26" s="5">
        <v>0.91500000000000004</v>
      </c>
      <c r="C26">
        <v>1.9802999999999999</v>
      </c>
      <c r="D26" s="8">
        <v>1.9879</v>
      </c>
    </row>
    <row r="27" spans="2:4" x14ac:dyDescent="0.45">
      <c r="B27" s="9">
        <v>0.92</v>
      </c>
      <c r="C27" s="10">
        <v>1.9931000000000001</v>
      </c>
      <c r="D27" s="11">
        <v>1.9933000000000001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"/>
  <sheetViews>
    <sheetView zoomScale="111" workbookViewId="0">
      <selection activeCell="I2" sqref="I2"/>
    </sheetView>
  </sheetViews>
  <sheetFormatPr defaultRowHeight="14.25" x14ac:dyDescent="0.45"/>
  <cols>
    <col min="1" max="1" width="22.1328125" bestFit="1" customWidth="1"/>
    <col min="2" max="2" width="13.796875" bestFit="1" customWidth="1"/>
    <col min="3" max="3" width="18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2" t="s">
        <v>1</v>
      </c>
      <c r="B1" s="2" t="s">
        <v>2</v>
      </c>
      <c r="C1" s="4" t="s">
        <v>3</v>
      </c>
      <c r="D1" s="12" t="s">
        <v>4</v>
      </c>
      <c r="E1" s="2" t="s">
        <v>2</v>
      </c>
      <c r="F1" s="4" t="s">
        <v>3</v>
      </c>
      <c r="G1" s="13" t="s">
        <v>5</v>
      </c>
      <c r="H1" s="13" t="s">
        <v>6</v>
      </c>
      <c r="I1" s="14" t="s">
        <v>7</v>
      </c>
    </row>
    <row r="2" spans="1:9" x14ac:dyDescent="0.45">
      <c r="A2" s="15">
        <v>0.91500000000000004</v>
      </c>
      <c r="B2" s="16">
        <v>1.9890000000000001</v>
      </c>
      <c r="C2" s="8">
        <v>1.9834000000000001</v>
      </c>
      <c r="D2" s="15">
        <v>0.92</v>
      </c>
      <c r="E2" s="5">
        <v>1.9897</v>
      </c>
      <c r="F2" s="8">
        <v>1.9911000000000001</v>
      </c>
      <c r="G2" s="17">
        <v>1.0049999999999999</v>
      </c>
      <c r="H2" s="17">
        <v>0.09</v>
      </c>
      <c r="I2" s="55">
        <v>5.0000000000000001E-3</v>
      </c>
    </row>
    <row r="3" spans="1:9" x14ac:dyDescent="0.45">
      <c r="A3" s="19"/>
      <c r="B3" s="5">
        <v>1.9903999999999999</v>
      </c>
      <c r="C3" s="8">
        <v>1.9888999999999999</v>
      </c>
      <c r="D3" s="19"/>
      <c r="E3" s="5">
        <v>1.9885999999999999</v>
      </c>
      <c r="F3" s="8">
        <v>1.9921</v>
      </c>
    </row>
    <row r="4" spans="1:9" x14ac:dyDescent="0.45">
      <c r="A4" s="19"/>
      <c r="B4" s="5">
        <v>1.9878</v>
      </c>
      <c r="C4" s="8">
        <v>1.9869000000000001</v>
      </c>
      <c r="D4" s="19"/>
      <c r="E4" s="5">
        <v>1.9895</v>
      </c>
      <c r="F4" s="8">
        <v>1.9892000000000001</v>
      </c>
    </row>
    <row r="5" spans="1:9" x14ac:dyDescent="0.45">
      <c r="A5" s="19"/>
      <c r="B5" s="5">
        <v>1.9887999999999999</v>
      </c>
      <c r="C5" s="8">
        <v>1.9882</v>
      </c>
      <c r="D5" s="19"/>
      <c r="E5" s="5">
        <v>1.9890000000000001</v>
      </c>
      <c r="F5" s="8">
        <v>1.9832000000000001</v>
      </c>
    </row>
    <row r="6" spans="1:9" x14ac:dyDescent="0.45">
      <c r="A6" s="19"/>
      <c r="B6" s="5">
        <v>1.9905999999999999</v>
      </c>
      <c r="C6" s="8">
        <v>1.9861</v>
      </c>
      <c r="D6" s="19"/>
      <c r="E6" s="5">
        <v>1.9835</v>
      </c>
      <c r="F6" s="8">
        <v>1.9914000000000001</v>
      </c>
    </row>
    <row r="7" spans="1:9" x14ac:dyDescent="0.45">
      <c r="A7" s="19"/>
      <c r="B7" s="5">
        <v>1.9893000000000001</v>
      </c>
      <c r="C7" s="54">
        <v>1.99</v>
      </c>
      <c r="D7" s="19"/>
      <c r="E7" s="5">
        <v>1.9898</v>
      </c>
      <c r="F7" s="8">
        <v>1.9901</v>
      </c>
    </row>
    <row r="8" spans="1:9" x14ac:dyDescent="0.45">
      <c r="A8" s="19"/>
      <c r="B8" s="5">
        <v>1.9886999999999999</v>
      </c>
      <c r="C8" s="8">
        <v>1.9866999999999999</v>
      </c>
      <c r="D8" s="19"/>
      <c r="E8" s="53">
        <v>1.99</v>
      </c>
      <c r="F8" s="8">
        <v>1.9899</v>
      </c>
    </row>
    <row r="9" spans="1:9" x14ac:dyDescent="0.45">
      <c r="A9" s="19"/>
      <c r="B9" s="5">
        <v>1.9869000000000001</v>
      </c>
      <c r="C9" s="8">
        <v>1.9855</v>
      </c>
      <c r="D9" s="19"/>
      <c r="E9" s="5">
        <v>1.9905999999999999</v>
      </c>
      <c r="F9" s="8">
        <v>1.9891000000000001</v>
      </c>
    </row>
    <row r="10" spans="1:9" x14ac:dyDescent="0.45">
      <c r="A10" s="19"/>
      <c r="B10" s="5">
        <v>1.9886999999999999</v>
      </c>
      <c r="C10" s="8">
        <v>1.984</v>
      </c>
      <c r="D10" s="19"/>
      <c r="E10" s="5">
        <v>1.9898</v>
      </c>
      <c r="F10" s="8">
        <v>1.9921</v>
      </c>
    </row>
    <row r="11" spans="1:9" x14ac:dyDescent="0.45">
      <c r="A11" s="19"/>
      <c r="B11" s="5">
        <v>1.9873000000000001</v>
      </c>
      <c r="C11" s="8">
        <v>1.9853000000000001</v>
      </c>
      <c r="D11" s="19"/>
      <c r="E11" s="5">
        <v>1.9903999999999999</v>
      </c>
      <c r="F11" s="8">
        <v>1.9881</v>
      </c>
    </row>
    <row r="12" spans="1:9" x14ac:dyDescent="0.45">
      <c r="A12" s="20" t="s">
        <v>8</v>
      </c>
      <c r="B12" s="23">
        <f>AVERAGE(B2:B11)</f>
        <v>1.9887500000000002</v>
      </c>
      <c r="C12" s="21">
        <f>AVERAGE(C2:C11)</f>
        <v>1.9864999999999999</v>
      </c>
      <c r="D12" s="22" t="s">
        <v>8</v>
      </c>
      <c r="E12" s="23">
        <f>AVERAGE(E2:E11)</f>
        <v>1.9890900000000002</v>
      </c>
      <c r="F12" s="24">
        <f>AVERAGE(F2:F11)</f>
        <v>1.98963</v>
      </c>
    </row>
    <row r="13" spans="1:9" x14ac:dyDescent="0.45">
      <c r="A13" s="25" t="s">
        <v>9</v>
      </c>
      <c r="B13" s="52">
        <f>_xlfn.STDEV.S(B2:B11)</f>
        <v>1.1993053545003578E-3</v>
      </c>
      <c r="C13" s="11">
        <f>_xlfn.STDEV.S(C2:C11)</f>
        <v>2.0965580258021552E-3</v>
      </c>
      <c r="D13" s="26" t="s">
        <v>9</v>
      </c>
      <c r="E13" s="52">
        <f>_xlfn.STDEV.S(E2:E11)</f>
        <v>2.0512597755200563E-3</v>
      </c>
      <c r="F13" s="11">
        <f>_xlfn.STDEV.S(F2:F11)</f>
        <v>2.6234201595118625E-3</v>
      </c>
    </row>
    <row r="14" spans="1:9" x14ac:dyDescent="0.45">
      <c r="A14" s="9" t="s">
        <v>10</v>
      </c>
      <c r="B14" s="10">
        <f>B13/SQRT(10)</f>
        <v>3.7925365302567999E-4</v>
      </c>
      <c r="C14" s="10">
        <f>C13/SQRT(10)</f>
        <v>6.6298986082408758E-4</v>
      </c>
      <c r="D14" s="10" t="s">
        <v>10</v>
      </c>
      <c r="E14" s="10">
        <f>E13/SQRT(10)</f>
        <v>6.4866529633290785E-4</v>
      </c>
      <c r="F14" s="11">
        <f>F13/SQRT(10)</f>
        <v>8.2959829636597285E-4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workbookViewId="0">
      <selection activeCell="G23" sqref="G23"/>
    </sheetView>
  </sheetViews>
  <sheetFormatPr defaultRowHeight="14.25" x14ac:dyDescent="0.45"/>
  <cols>
    <col min="1" max="1" width="15.3984375" bestFit="1" customWidth="1"/>
    <col min="2" max="2" width="14.33203125" bestFit="1" customWidth="1"/>
    <col min="3" max="8" width="11.265625" bestFit="1" customWidth="1"/>
    <col min="9" max="9" width="10.59765625" bestFit="1" customWidth="1"/>
    <col min="10" max="10" width="11.73046875" bestFit="1" customWidth="1"/>
    <col min="11" max="11" width="10.59765625" bestFit="1" customWidth="1"/>
    <col min="12" max="12" width="7.9296875" bestFit="1" customWidth="1"/>
  </cols>
  <sheetData>
    <row r="1" spans="1:8" x14ac:dyDescent="0.45">
      <c r="A1" s="27"/>
      <c r="B1" s="28" t="s">
        <v>4</v>
      </c>
      <c r="C1" s="29" t="s">
        <v>4</v>
      </c>
      <c r="D1" s="29" t="s">
        <v>4</v>
      </c>
      <c r="E1" s="29" t="s">
        <v>4</v>
      </c>
      <c r="F1" s="29" t="s">
        <v>4</v>
      </c>
      <c r="G1" s="29" t="s">
        <v>4</v>
      </c>
      <c r="H1" s="30" t="s">
        <v>4</v>
      </c>
    </row>
    <row r="2" spans="1:8" x14ac:dyDescent="0.45">
      <c r="A2" s="27"/>
      <c r="B2" s="31">
        <v>0.15</v>
      </c>
      <c r="C2" s="32">
        <v>0.2</v>
      </c>
      <c r="D2" s="32">
        <v>0.25</v>
      </c>
      <c r="E2" s="32">
        <v>0.3</v>
      </c>
      <c r="F2" s="32">
        <v>0.35</v>
      </c>
      <c r="G2" s="32">
        <v>0.4</v>
      </c>
      <c r="H2" s="33">
        <v>0.45</v>
      </c>
    </row>
    <row r="3" spans="1:8" x14ac:dyDescent="0.45">
      <c r="A3" s="27"/>
      <c r="B3" s="34" t="s">
        <v>11</v>
      </c>
      <c r="C3" s="35" t="s">
        <v>11</v>
      </c>
      <c r="D3" s="35" t="s">
        <v>11</v>
      </c>
      <c r="E3" s="35" t="s">
        <v>11</v>
      </c>
      <c r="F3" s="35" t="s">
        <v>11</v>
      </c>
      <c r="G3" s="35" t="s">
        <v>11</v>
      </c>
      <c r="H3" s="36" t="s">
        <v>11</v>
      </c>
    </row>
    <row r="4" spans="1:8" x14ac:dyDescent="0.45">
      <c r="A4" s="27"/>
      <c r="B4" s="37">
        <v>0.14330000000000001</v>
      </c>
      <c r="C4" s="38">
        <v>0.16980000000000001</v>
      </c>
      <c r="D4" s="38">
        <v>0.19339999999999999</v>
      </c>
      <c r="E4" s="38">
        <v>0.21460000000000001</v>
      </c>
      <c r="F4" s="38">
        <v>0.23419999999999999</v>
      </c>
      <c r="G4" s="38">
        <v>0.25280000000000002</v>
      </c>
      <c r="H4" s="39">
        <v>0.27129999999999999</v>
      </c>
    </row>
    <row r="5" spans="1:8" x14ac:dyDescent="0.45">
      <c r="A5" s="27"/>
      <c r="B5" s="40">
        <v>0.1434</v>
      </c>
      <c r="C5" s="19">
        <v>0.1716</v>
      </c>
      <c r="D5" s="19">
        <v>0.19320000000000001</v>
      </c>
      <c r="E5" s="19">
        <v>0.215</v>
      </c>
      <c r="F5" s="19">
        <v>0.2344</v>
      </c>
      <c r="G5" s="19">
        <v>0.253</v>
      </c>
      <c r="H5" s="41">
        <v>0.27189999999999998</v>
      </c>
    </row>
    <row r="6" spans="1:8" x14ac:dyDescent="0.45">
      <c r="A6" s="27"/>
      <c r="B6" s="40">
        <v>0.14330000000000001</v>
      </c>
      <c r="C6" s="19">
        <v>0.17100000000000001</v>
      </c>
      <c r="D6" s="19">
        <v>0.1933</v>
      </c>
      <c r="E6" s="19">
        <v>0.21490000000000001</v>
      </c>
      <c r="F6" s="19">
        <v>0.23430000000000001</v>
      </c>
      <c r="G6" s="19">
        <v>0.25369999999999998</v>
      </c>
      <c r="H6" s="41">
        <v>0.27210000000000001</v>
      </c>
    </row>
    <row r="7" spans="1:8" x14ac:dyDescent="0.45">
      <c r="A7" s="27"/>
      <c r="B7" s="40">
        <v>0.1431</v>
      </c>
      <c r="C7" s="19">
        <v>0.17030000000000001</v>
      </c>
      <c r="D7" s="19">
        <v>0.1933</v>
      </c>
      <c r="E7" s="19">
        <v>0.21479999999999999</v>
      </c>
      <c r="F7" s="19">
        <v>0.23419999999999999</v>
      </c>
      <c r="G7" s="19">
        <v>0.25319999999999998</v>
      </c>
      <c r="H7" s="41">
        <v>0.27079999999999999</v>
      </c>
    </row>
    <row r="8" spans="1:8" x14ac:dyDescent="0.45">
      <c r="A8" s="27"/>
      <c r="B8" s="40">
        <v>0.14319999999999999</v>
      </c>
      <c r="C8" s="19">
        <v>0.1706</v>
      </c>
      <c r="D8" s="19">
        <v>0.1933</v>
      </c>
      <c r="E8" s="19">
        <v>0.2152</v>
      </c>
      <c r="F8" s="19">
        <v>0.2344</v>
      </c>
      <c r="G8" s="19">
        <v>0.25359999999999999</v>
      </c>
      <c r="H8" s="41">
        <v>0.27179999999999999</v>
      </c>
    </row>
    <row r="9" spans="1:8" x14ac:dyDescent="0.45">
      <c r="A9" s="27"/>
      <c r="B9" s="40">
        <v>0.14330000000000001</v>
      </c>
      <c r="C9" s="19">
        <v>0.1711</v>
      </c>
      <c r="D9" s="19">
        <v>0.19359999999999999</v>
      </c>
      <c r="E9" s="19">
        <v>0.2147</v>
      </c>
      <c r="F9" s="19">
        <v>0.23449999999999999</v>
      </c>
      <c r="G9" s="19">
        <v>0.253</v>
      </c>
      <c r="H9" s="41">
        <v>0.26860000000000001</v>
      </c>
    </row>
    <row r="10" spans="1:8" x14ac:dyDescent="0.45">
      <c r="A10" s="42"/>
      <c r="B10" s="43">
        <v>0.1431</v>
      </c>
      <c r="C10" s="44">
        <v>0.17</v>
      </c>
      <c r="D10" s="44">
        <v>0.19359999999999999</v>
      </c>
      <c r="E10" s="44">
        <v>0.21479999999999999</v>
      </c>
      <c r="F10" s="44">
        <v>0.23430000000000001</v>
      </c>
      <c r="G10" s="44">
        <v>0.25340000000000001</v>
      </c>
      <c r="H10" s="45">
        <v>0.26829999999999998</v>
      </c>
    </row>
    <row r="11" spans="1:8" x14ac:dyDescent="0.45">
      <c r="A11" s="46" t="s">
        <v>8</v>
      </c>
      <c r="B11" s="48">
        <f t="shared" ref="B11:H11" si="0">AVERAGE(B4:B10)</f>
        <v>0.14324285714285714</v>
      </c>
      <c r="C11" s="51">
        <f t="shared" si="0"/>
        <v>0.17062857142857141</v>
      </c>
      <c r="D11" s="51">
        <f t="shared" si="0"/>
        <v>0.19338571428571427</v>
      </c>
      <c r="E11" s="51">
        <f t="shared" si="0"/>
        <v>0.21485714285714286</v>
      </c>
      <c r="F11" s="51">
        <f t="shared" si="0"/>
        <v>0.23432857142857141</v>
      </c>
      <c r="G11" s="51">
        <f t="shared" si="0"/>
        <v>0.25324285714285721</v>
      </c>
      <c r="H11" s="51">
        <f t="shared" si="0"/>
        <v>0.27068571428571425</v>
      </c>
    </row>
    <row r="12" spans="1:8" x14ac:dyDescent="0.45">
      <c r="A12" s="47" t="s">
        <v>12</v>
      </c>
      <c r="B12" s="49">
        <f t="shared" ref="B12:H12" si="1">_xlfn.STDEV.S(B4:B10)/SQRT(7)</f>
        <v>4.2857142857143202E-5</v>
      </c>
      <c r="C12" s="50">
        <f t="shared" si="1"/>
        <v>2.4369603013188476E-4</v>
      </c>
      <c r="D12" s="50">
        <f t="shared" si="1"/>
        <v>5.9476171413316292E-5</v>
      </c>
      <c r="E12" s="50">
        <f t="shared" si="1"/>
        <v>7.514158970504462E-5</v>
      </c>
      <c r="F12" s="50">
        <f t="shared" si="1"/>
        <v>4.2056004125370102E-5</v>
      </c>
      <c r="G12" s="50">
        <f t="shared" si="1"/>
        <v>1.2697420596164739E-4</v>
      </c>
      <c r="H12" s="50">
        <f t="shared" si="1"/>
        <v>6.0056662586997192E-4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4"/>
  <sheetViews>
    <sheetView tabSelected="1" topLeftCell="A2" workbookViewId="0">
      <selection activeCell="E22" sqref="E22"/>
    </sheetView>
  </sheetViews>
  <sheetFormatPr defaultRowHeight="14.25" x14ac:dyDescent="0.45"/>
  <cols>
    <col min="1" max="1" width="22.86328125" bestFit="1" customWidth="1"/>
    <col min="2" max="2" width="14.1328125" bestFit="1" customWidth="1"/>
    <col min="3" max="3" width="18.796875" bestFit="1" customWidth="1"/>
    <col min="4" max="4" width="22.86328125" bestFit="1" customWidth="1"/>
    <col min="5" max="5" width="14.1328125" bestFit="1" customWidth="1"/>
    <col min="6" max="6" width="18.796875" bestFit="1" customWidth="1"/>
    <col min="7" max="7" width="22.86328125" bestFit="1"/>
    <col min="8" max="8" width="14.1328125" bestFit="1"/>
    <col min="9" max="9" width="18.796875" bestFit="1"/>
    <col min="10" max="10" width="10.86328125" bestFit="1"/>
  </cols>
  <sheetData>
    <row r="1" spans="1:9" x14ac:dyDescent="0.45">
      <c r="A1" s="12" t="s">
        <v>1</v>
      </c>
      <c r="B1" s="2" t="s">
        <v>2</v>
      </c>
      <c r="C1" s="4" t="s">
        <v>3</v>
      </c>
      <c r="D1" s="12" t="s">
        <v>4</v>
      </c>
      <c r="E1" s="2" t="s">
        <v>2</v>
      </c>
      <c r="F1" s="4" t="s">
        <v>3</v>
      </c>
      <c r="G1" s="12" t="s">
        <v>1</v>
      </c>
      <c r="H1" s="2" t="s">
        <v>2</v>
      </c>
      <c r="I1" s="4" t="s">
        <v>3</v>
      </c>
    </row>
    <row r="2" spans="1:9" x14ac:dyDescent="0.45">
      <c r="A2" s="15">
        <v>0.91500000000000004</v>
      </c>
      <c r="B2" s="16">
        <v>1.9906999999999999</v>
      </c>
      <c r="C2" s="6">
        <v>1.9875</v>
      </c>
      <c r="D2" s="60">
        <v>0.92</v>
      </c>
      <c r="E2" s="6">
        <v>1.9911000000000001</v>
      </c>
      <c r="F2" s="7">
        <v>1.9866999999999999</v>
      </c>
      <c r="G2" s="15">
        <v>0.91800000000000004</v>
      </c>
      <c r="H2" s="16">
        <v>1.9910000000000001</v>
      </c>
      <c r="I2" s="8">
        <v>1.9874000000000001</v>
      </c>
    </row>
    <row r="3" spans="1:9" x14ac:dyDescent="0.45">
      <c r="A3" s="19"/>
      <c r="B3" s="5">
        <v>1.9911000000000001</v>
      </c>
      <c r="C3" s="6">
        <v>1.9873000000000001</v>
      </c>
      <c r="D3" s="59"/>
      <c r="E3" s="6">
        <v>1.9863</v>
      </c>
      <c r="F3" s="7">
        <v>1.9923999999999999</v>
      </c>
      <c r="G3" s="19"/>
      <c r="H3" s="5">
        <v>1.9911000000000001</v>
      </c>
      <c r="I3" s="7">
        <v>1.988</v>
      </c>
    </row>
    <row r="4" spans="1:9" x14ac:dyDescent="0.45">
      <c r="A4" s="19"/>
      <c r="B4" s="5">
        <v>1.9908999999999999</v>
      </c>
      <c r="C4" s="6">
        <v>1.9894000000000001</v>
      </c>
      <c r="D4" s="59"/>
      <c r="E4" s="6">
        <v>1.9910000000000001</v>
      </c>
      <c r="F4" s="7">
        <v>1.9919</v>
      </c>
      <c r="G4" s="19"/>
      <c r="H4" s="5">
        <v>1.9904999999999999</v>
      </c>
      <c r="I4" s="8">
        <v>1.9881</v>
      </c>
    </row>
    <row r="5" spans="1:9" x14ac:dyDescent="0.45">
      <c r="A5" s="19"/>
      <c r="B5" s="5">
        <v>1.9919</v>
      </c>
      <c r="C5" s="6">
        <v>1.9890000000000001</v>
      </c>
      <c r="D5" s="59"/>
      <c r="E5" s="6">
        <v>1.9857</v>
      </c>
      <c r="F5" s="7">
        <v>1.9925999999999999</v>
      </c>
      <c r="G5" s="19"/>
      <c r="H5" s="5">
        <v>1.9918</v>
      </c>
      <c r="I5" s="8">
        <v>1.9851000000000001</v>
      </c>
    </row>
    <row r="6" spans="1:9" x14ac:dyDescent="0.45">
      <c r="A6" s="19"/>
      <c r="B6" s="5">
        <v>1.9908999999999999</v>
      </c>
      <c r="C6" s="6">
        <v>1.9882</v>
      </c>
      <c r="D6" s="59"/>
      <c r="E6" s="6">
        <v>1.9905999999999999</v>
      </c>
      <c r="F6" s="7">
        <v>1.9903999999999999</v>
      </c>
      <c r="G6" s="19"/>
      <c r="H6" s="5">
        <v>1.9911000000000001</v>
      </c>
      <c r="I6" s="8">
        <v>1.9869000000000001</v>
      </c>
    </row>
    <row r="7" spans="1:9" x14ac:dyDescent="0.45">
      <c r="A7" s="19"/>
      <c r="B7" s="5">
        <v>1.9906999999999999</v>
      </c>
      <c r="C7" s="6">
        <v>1.9882</v>
      </c>
      <c r="D7" s="59"/>
      <c r="E7" s="6">
        <v>1.9925999999999999</v>
      </c>
      <c r="F7" s="7">
        <v>1.9904999999999999</v>
      </c>
      <c r="G7" s="19"/>
      <c r="H7" s="5">
        <v>1.9914000000000001</v>
      </c>
      <c r="I7" s="8">
        <v>1.9877</v>
      </c>
    </row>
    <row r="8" spans="1:9" x14ac:dyDescent="0.45">
      <c r="A8" s="19"/>
      <c r="B8" s="5">
        <v>1.9913000000000001</v>
      </c>
      <c r="C8" s="6">
        <v>1.988</v>
      </c>
      <c r="D8" s="59"/>
      <c r="E8" s="6">
        <v>1.9928999999999999</v>
      </c>
      <c r="F8" s="7">
        <v>1.9907999999999999</v>
      </c>
      <c r="G8" s="19"/>
      <c r="H8" s="5">
        <v>1.9905999999999999</v>
      </c>
      <c r="I8" s="8">
        <v>1.9882</v>
      </c>
    </row>
    <row r="9" spans="1:9" x14ac:dyDescent="0.45">
      <c r="A9" s="19"/>
      <c r="B9" s="5">
        <v>1.9904999999999999</v>
      </c>
      <c r="C9" s="6">
        <v>1.9886999999999999</v>
      </c>
      <c r="D9" s="59"/>
      <c r="E9" s="6">
        <v>1.9905999999999999</v>
      </c>
      <c r="F9" s="7">
        <v>1.9937</v>
      </c>
      <c r="G9" s="59"/>
      <c r="H9" s="16">
        <v>1.9910000000000001</v>
      </c>
      <c r="I9" s="8">
        <v>1.9891000000000001</v>
      </c>
    </row>
    <row r="10" spans="1:9" x14ac:dyDescent="0.45">
      <c r="A10" s="19"/>
      <c r="B10" s="5">
        <v>1.9905999999999999</v>
      </c>
      <c r="C10" s="6">
        <v>1.9879</v>
      </c>
      <c r="D10" s="59"/>
      <c r="E10" s="6">
        <v>1.982</v>
      </c>
      <c r="F10" s="7">
        <v>1.99</v>
      </c>
      <c r="G10" s="59"/>
      <c r="H10" s="16">
        <v>1.9907999999999999</v>
      </c>
      <c r="I10" s="8">
        <v>1.9877</v>
      </c>
    </row>
    <row r="11" spans="1:9" x14ac:dyDescent="0.45">
      <c r="A11" s="19"/>
      <c r="B11" s="9">
        <v>1.9923</v>
      </c>
      <c r="C11" s="11">
        <v>1.9870000000000001</v>
      </c>
      <c r="D11" s="59"/>
      <c r="E11" s="52">
        <v>1.9910000000000001</v>
      </c>
      <c r="F11" s="11">
        <v>1.9839</v>
      </c>
      <c r="G11" s="32"/>
      <c r="H11" s="9">
        <v>1.9916</v>
      </c>
      <c r="I11" s="18">
        <v>1.9892000000000001</v>
      </c>
    </row>
    <row r="12" spans="1:9" x14ac:dyDescent="0.45">
      <c r="A12" s="20" t="s">
        <v>8</v>
      </c>
      <c r="B12" s="23">
        <f>AVERAGE(B2:B11)</f>
        <v>1.9910900000000002</v>
      </c>
      <c r="C12" s="6">
        <f>AVERAGE(C2:C11)</f>
        <v>1.9881199999999999</v>
      </c>
      <c r="D12" s="56" t="s">
        <v>8</v>
      </c>
      <c r="E12" s="6">
        <f>AVERAGE(E2:E11)</f>
        <v>1.9893800000000001</v>
      </c>
      <c r="F12" s="24">
        <f>AVERAGE(F2:F11)</f>
        <v>1.9902899999999994</v>
      </c>
      <c r="G12" s="57" t="s">
        <v>8</v>
      </c>
      <c r="H12" s="23">
        <f>AVERAGE(H2:H11)</f>
        <v>1.9910899999999998</v>
      </c>
      <c r="I12" s="24">
        <f>AVERAGE(I2:I11)</f>
        <v>1.9877400000000001</v>
      </c>
    </row>
    <row r="13" spans="1:9" x14ac:dyDescent="0.45">
      <c r="A13" s="25" t="s">
        <v>9</v>
      </c>
      <c r="B13" s="52">
        <f>_xlfn.STDEV.S(B2:B11)</f>
        <v>5.8963265400306707E-4</v>
      </c>
      <c r="C13" s="11">
        <f>_xlfn.STDEV.S(C2:C11)</f>
        <v>7.554248252914698E-4</v>
      </c>
      <c r="D13" s="58" t="s">
        <v>9</v>
      </c>
      <c r="E13" s="52">
        <f>_xlfn.STDEV.S(E2:E11)</f>
        <v>3.5187750393819938E-3</v>
      </c>
      <c r="F13" s="11">
        <f>_xlfn.STDEV.S(F2:F11)</f>
        <v>2.9463536787018665E-3</v>
      </c>
      <c r="G13" s="50" t="s">
        <v>9</v>
      </c>
      <c r="H13" s="52">
        <f>_xlfn.STDEV.S(H2:H11)</f>
        <v>4.1486276177929101E-4</v>
      </c>
      <c r="I13" s="11">
        <f>_xlfn.STDEV.S(I2:I11)</f>
        <v>1.1635195648452797E-3</v>
      </c>
    </row>
    <row r="14" spans="1:9" x14ac:dyDescent="0.45">
      <c r="A14" t="s">
        <v>10</v>
      </c>
      <c r="B14" s="6">
        <f>B13/SQRT(10)</f>
        <v>1.8645821694596905E-4</v>
      </c>
      <c r="C14" s="6">
        <f>C13/SQRT(10)</f>
        <v>2.3888630489558158E-4</v>
      </c>
      <c r="D14" s="6" t="s">
        <v>10</v>
      </c>
      <c r="E14" s="6">
        <f>E13/SQRT(10)</f>
        <v>1.1127343698195788E-3</v>
      </c>
      <c r="F14" s="6">
        <f>F13/SQRT(10)</f>
        <v>9.3171884171138343E-4</v>
      </c>
      <c r="G14" s="6" t="s">
        <v>10</v>
      </c>
      <c r="H14" s="6">
        <f>H13/SQRT(10)</f>
        <v>1.3119112436104082E-4</v>
      </c>
      <c r="I14" s="6">
        <f>I13/SQRT(10)</f>
        <v>3.679371927079062E-4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Periodi</vt:lpstr>
      <vt:lpstr>Intersezione</vt:lpstr>
      <vt:lpstr>Caduta libera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cp:revision>2</cp:revision>
  <dcterms:created xsi:type="dcterms:W3CDTF">2026-05-12T08:51:21Z</dcterms:created>
  <dcterms:modified xsi:type="dcterms:W3CDTF">2026-05-21T06:21:54Z</dcterms:modified>
</cp:coreProperties>
</file>