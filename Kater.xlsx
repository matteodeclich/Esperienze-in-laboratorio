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eriodi" sheetId="1" state="visible" r:id="rId1"/>
    <sheet name="Pendolo" sheetId="2" state="visible" r:id="rId2"/>
    <sheet name="Caduta libera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<sst xmlns="http://schemas.openxmlformats.org/spreadsheetml/2006/main" count="13" uniqueCount="13">
  <si>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D m.e. [m]</t>
  </si>
  <si>
    <t xml:space="preserve">D m.i. [m]</t>
  </si>
  <si>
    <t xml:space="preserve">T1 [s]</t>
  </si>
  <si>
    <t xml:space="preserve">T2 [s]</t>
  </si>
  <si>
    <t xml:space="preserve">Distanza m. interna</t>
  </si>
  <si>
    <t xml:space="preserve">0,915 m</t>
  </si>
  <si>
    <t xml:space="preserve">0,920 m</t>
  </si>
  <si>
    <t>Media</t>
  </si>
  <si>
    <t xml:space="preserve">Deviazione standard</t>
  </si>
  <si>
    <t xml:space="preserve">Err. media</t>
  </si>
  <si>
    <t xml:space="preserve">Distanza [m]</t>
  </si>
  <si>
    <t xml:space="preserve">Tempi [s]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</si>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</sst>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theme="3" tint="0.249977111117893"/>
      </patternFill>
    </fill>
    <fill>
      <patternFill patternType="solid">
        <fgColor theme="3" tint="0.499984740745262"/>
        <bgColor theme="3" tint="0.499984740745262"/>
      </patternFill>
    </fill>
  </fills>
  <borders count="39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theme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6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2" numFmtId="0" xfId="0" applyBorder="1"/>
    <xf fontId="0" fillId="0" borderId="4" numFmtId="0" xfId="0" applyBorder="1"/>
    <xf fontId="0" fillId="0" borderId="0" numFmtId="164" xfId="0" applyNumberFormat="1"/>
    <xf fontId="0" fillId="0" borderId="4" numFmtId="164" xfId="0" applyNumberFormat="1" applyBorder="1"/>
    <xf fontId="0" fillId="0" borderId="5" numFmtId="0" xfId="0" applyBorder="1"/>
    <xf fontId="0" fillId="0" borderId="6" numFmtId="164" xfId="0" applyNumberFormat="1" applyBorder="1"/>
    <xf fontId="0" fillId="0" borderId="5" numFmtId="164" xfId="0" applyNumberFormat="1" applyBorder="1"/>
    <xf fontId="0" fillId="3" borderId="1" numFmtId="0" xfId="0" applyFill="1" applyBorder="1" applyAlignment="1">
      <alignment horizontal="center"/>
    </xf>
    <xf fontId="0" fillId="3" borderId="7" numFmtId="0" xfId="0" applyFill="1" applyBorder="1" applyAlignment="1">
      <alignment horizontal="center"/>
    </xf>
    <xf fontId="0" fillId="3" borderId="8" numFmtId="164" xfId="0" applyNumberFormat="1" applyFill="1" applyBorder="1" applyAlignment="1">
      <alignment horizontal="center"/>
    </xf>
    <xf fontId="0" fillId="3" borderId="0" numFmtId="164" xfId="0" applyNumberFormat="1" applyFill="1" applyAlignment="1">
      <alignment horizontal="center"/>
    </xf>
    <xf fontId="0" fillId="2" borderId="9" numFmtId="0" xfId="0" applyFill="1" applyBorder="1" applyAlignment="1">
      <alignment horizontal="center"/>
    </xf>
    <xf fontId="0" fillId="2" borderId="10" numFmtId="0" xfId="0" applyFill="1" applyBorder="1" applyAlignment="1">
      <alignment horizontal="center"/>
    </xf>
    <xf fontId="0" fillId="2" borderId="11" numFmtId="0" xfId="0" applyFill="1" applyBorder="1" applyAlignment="1">
      <alignment horizontal="center"/>
    </xf>
    <xf fontId="0" fillId="0" borderId="9" numFmtId="164" xfId="0" applyNumberFormat="1" applyBorder="1"/>
    <xf fontId="0" fillId="0" borderId="12" numFmtId="164" xfId="0" applyNumberFormat="1" applyBorder="1"/>
    <xf fontId="0" fillId="0" borderId="13" numFmtId="164" xfId="0" applyNumberFormat="1" applyBorder="1"/>
    <xf fontId="0" fillId="0" borderId="14" numFmtId="0" xfId="0" applyBorder="1"/>
    <xf fontId="0" fillId="2" borderId="9" numFmtId="0" xfId="0" applyFill="1" applyBorder="1"/>
    <xf fontId="0" fillId="3" borderId="9" numFmtId="164" xfId="0" applyNumberFormat="1" applyFill="1" applyBorder="1"/>
    <xf fontId="0" fillId="3" borderId="15" numFmtId="164" xfId="0" applyNumberFormat="1" applyFill="1" applyBorder="1"/>
    <xf fontId="0" fillId="2" borderId="9" numFmtId="164" xfId="0" applyNumberFormat="1" applyFill="1" applyBorder="1"/>
    <xf fontId="0" fillId="3" borderId="12" numFmtId="164" xfId="0" applyNumberFormat="1" applyFill="1" applyBorder="1"/>
    <xf fontId="0" fillId="2" borderId="4" numFmtId="0" xfId="0" applyFill="1" applyBorder="1"/>
    <xf fontId="0" fillId="3" borderId="4" numFmtId="164" xfId="0" applyNumberFormat="1" applyFill="1" applyBorder="1"/>
    <xf fontId="0" fillId="3" borderId="0" numFmtId="164" xfId="0" applyNumberFormat="1" applyFill="1"/>
    <xf fontId="0" fillId="2" borderId="4" numFmtId="164" xfId="0" applyNumberFormat="1" applyFill="1" applyBorder="1"/>
    <xf fontId="0" fillId="3" borderId="13" numFmtId="164" xfId="0" applyNumberFormat="1" applyFill="1" applyBorder="1"/>
    <xf fontId="0" fillId="2" borderId="5" numFmtId="0" xfId="0" applyFill="1" applyBorder="1"/>
    <xf fontId="0" fillId="3" borderId="5" numFmtId="164" xfId="0" applyNumberFormat="1" applyFill="1" applyBorder="1"/>
    <xf fontId="0" fillId="3" borderId="16" numFmtId="164" xfId="0" applyNumberFormat="1" applyFill="1" applyBorder="1"/>
    <xf fontId="0" fillId="2" borderId="5" numFmtId="164" xfId="0" applyNumberFormat="1" applyFill="1" applyBorder="1"/>
    <xf fontId="0" fillId="3" borderId="17" numFmtId="164" xfId="0" applyNumberFormat="1" applyFill="1" applyBorder="1"/>
    <xf fontId="0" fillId="2" borderId="18" numFmtId="0" xfId="0" applyFill="1" applyBorder="1" applyAlignment="1">
      <alignment horizontal="center"/>
    </xf>
    <xf fontId="0" fillId="2" borderId="19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0" borderId="21" numFmtId="0" xfId="0" applyBorder="1"/>
    <xf fontId="0" fillId="0" borderId="22" numFmtId="2" xfId="0" applyNumberFormat="1" applyBorder="1"/>
    <xf fontId="0" fillId="0" borderId="23" numFmtId="0" xfId="0" applyBorder="1"/>
    <xf fontId="0" fillId="0" borderId="23" numFmtId="2" xfId="0" applyNumberFormat="1" applyBorder="1"/>
    <xf fontId="0" fillId="0" borderId="24" numFmtId="2" xfId="0" applyNumberFormat="1" applyBorder="1"/>
    <xf fontId="0" fillId="2" borderId="25" numFmtId="0" xfId="0" applyFill="1" applyBorder="1" applyAlignment="1">
      <alignment horizontal="center"/>
    </xf>
    <xf fontId="0" fillId="2" borderId="26" numFmtId="0" xfId="0" applyFill="1" applyBorder="1" applyAlignment="1">
      <alignment horizontal="center"/>
    </xf>
    <xf fontId="0" fillId="2" borderId="27" numFmtId="0" xfId="0" applyFill="1" applyBorder="1" applyAlignment="1">
      <alignment horizontal="center"/>
    </xf>
    <xf fontId="0" fillId="0" borderId="28" numFmtId="165" xfId="0" applyNumberFormat="1" applyBorder="1"/>
    <xf fontId="0" fillId="0" borderId="11" numFmtId="165" xfId="0" applyNumberFormat="1" applyBorder="1"/>
    <xf fontId="0" fillId="0" borderId="29" numFmtId="165" xfId="0" applyNumberFormat="1" applyBorder="1"/>
    <xf fontId="0" fillId="0" borderId="30" numFmtId="165" xfId="0" applyNumberFormat="1" applyBorder="1"/>
    <xf fontId="0" fillId="0" borderId="4" numFmtId="165" xfId="0" applyNumberFormat="1" applyBorder="1"/>
    <xf fontId="0" fillId="0" borderId="10" numFmtId="165" xfId="0" applyNumberFormat="1" applyBorder="1"/>
    <xf fontId="0" fillId="0" borderId="31" numFmtId="165" xfId="0" applyNumberFormat="1" applyBorder="1"/>
    <xf fontId="0" fillId="0" borderId="32" numFmtId="165" xfId="0" applyNumberFormat="1" applyBorder="1"/>
    <xf fontId="0" fillId="0" borderId="5" numFmtId="165" xfId="0" applyNumberFormat="1" applyBorder="1"/>
    <xf fontId="0" fillId="3" borderId="33" numFmtId="165" xfId="0" applyNumberFormat="1" applyFill="1" applyBorder="1"/>
    <xf fontId="0" fillId="3" borderId="34" numFmtId="165" xfId="0" applyNumberFormat="1" applyFill="1" applyBorder="1"/>
    <xf fontId="0" fillId="3" borderId="35" numFmtId="165" xfId="0" applyNumberFormat="1" applyFill="1" applyBorder="1"/>
    <xf fontId="0" fillId="3" borderId="4" numFmtId="165" xfId="0" applyNumberFormat="1" applyFill="1" applyBorder="1"/>
    <xf fontId="0" fillId="2" borderId="5" numFmtId="0" xfId="0" applyFill="1" applyBorder="1"/>
    <xf fontId="0" fillId="3" borderId="36" numFmtId="165" xfId="0" applyNumberFormat="1" applyFill="1" applyBorder="1"/>
    <xf fontId="0" fillId="3" borderId="37" numFmtId="165" xfId="0" applyNumberFormat="1" applyFill="1" applyBorder="1"/>
    <xf fontId="0" fillId="3" borderId="38" numFmtId="165" xfId="0" applyNumberFormat="1" applyFill="1" applyBorder="1"/>
    <xf fontId="0" fillId="3" borderId="5" numFmtId="165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7" activeCellId="0" sqref="E7"/>
    </sheetView>
  </sheetViews>
  <sheetFormatPr defaultRowHeight="14.25"/>
  <cols>
    <col customWidth="1" min="1" max="1" width="9.75390625"/>
    <col customWidth="1" min="2" max="2" width="10.25390625"/>
    <col bestFit="1" customWidth="1" min="3" max="3" width="13.796875"/>
    <col customWidth="1" min="4" max="4" width="13.125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2" t="s">
        <v>3</v>
      </c>
    </row>
    <row r="2">
      <c r="A2" s="4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5">
        <v>1.9879</v>
      </c>
    </row>
    <row r="27">
      <c r="B27" s="8">
        <v>0.92000000000000004</v>
      </c>
      <c r="C27" s="9">
        <v>1.9931000000000001</v>
      </c>
      <c r="D27" s="10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2" activeCellId="0" sqref="E22"/>
    </sheetView>
  </sheetViews>
  <sheetFormatPr defaultRowHeight="14.25"/>
  <cols>
    <col bestFit="1" customWidth="1" min="1" max="1" width="22.86328125"/>
    <col customWidth="1" min="2" max="2" width="18.00390625"/>
    <col bestFit="1" customWidth="1" min="3" max="3" width="18.796875"/>
    <col bestFit="1" customWidth="1" min="4" max="4" width="22.86328125"/>
    <col customWidth="1" min="5" max="5" width="17.625"/>
    <col bestFit="1" customWidth="1" min="6" max="6" width="18.796875"/>
    <col bestFit="1" min="7" max="7" width="22.86328125"/>
    <col bestFit="1" min="8" max="8" width="14.1328125"/>
    <col bestFit="1" min="9" max="9" width="18.796875"/>
    <col bestFit="1" min="10" max="10" width="10.86328125"/>
  </cols>
  <sheetData>
    <row r="1">
      <c r="A1" s="2" t="s">
        <v>4</v>
      </c>
      <c r="B1" s="11" t="s">
        <v>5</v>
      </c>
      <c r="C1" s="12"/>
      <c r="E1" s="13" t="s">
        <v>6</v>
      </c>
      <c r="F1" s="14"/>
    </row>
    <row r="2">
      <c r="B2" s="15" t="s">
        <v>2</v>
      </c>
      <c r="C2" s="16" t="s">
        <v>3</v>
      </c>
      <c r="E2" s="15" t="s">
        <v>2</v>
      </c>
      <c r="F2" s="17" t="s">
        <v>3</v>
      </c>
    </row>
    <row r="3">
      <c r="B3" s="18">
        <v>1.9906999999999999</v>
      </c>
      <c r="C3" s="18">
        <v>1.9875</v>
      </c>
      <c r="E3" s="18">
        <v>1.9911000000000001</v>
      </c>
      <c r="F3" s="19">
        <v>1.9866999999999999</v>
      </c>
    </row>
    <row r="4">
      <c r="B4" s="5">
        <v>1.9911000000000001</v>
      </c>
      <c r="C4" s="7">
        <v>1.9873000000000001</v>
      </c>
      <c r="D4" s="6"/>
      <c r="E4" s="7">
        <v>1.9863</v>
      </c>
      <c r="F4" s="20">
        <v>1.9923999999999999</v>
      </c>
    </row>
    <row r="5">
      <c r="A5" s="21"/>
      <c r="B5" s="5">
        <v>1.9908999999999999</v>
      </c>
      <c r="C5" s="7">
        <v>1.9894000000000001</v>
      </c>
      <c r="D5" s="6"/>
      <c r="E5" s="7">
        <v>1.9910000000000001</v>
      </c>
      <c r="F5" s="20">
        <v>1.9919</v>
      </c>
    </row>
    <row r="6">
      <c r="A6" s="21"/>
      <c r="B6" s="5">
        <v>1.9919</v>
      </c>
      <c r="C6" s="7">
        <v>1.9890000000000001</v>
      </c>
      <c r="D6" s="6"/>
      <c r="E6" s="7">
        <v>1.9857</v>
      </c>
      <c r="F6" s="20">
        <v>1.9925999999999999</v>
      </c>
    </row>
    <row r="7">
      <c r="A7" s="21"/>
      <c r="B7" s="5">
        <v>1.9908999999999999</v>
      </c>
      <c r="C7" s="7">
        <v>1.9882</v>
      </c>
      <c r="D7" s="6"/>
      <c r="E7" s="7">
        <v>1.9905999999999999</v>
      </c>
      <c r="F7" s="20">
        <v>1.9903999999999999</v>
      </c>
    </row>
    <row r="8">
      <c r="A8" s="21"/>
      <c r="B8" s="5">
        <v>1.9906999999999999</v>
      </c>
      <c r="C8" s="7">
        <v>1.9882</v>
      </c>
      <c r="D8" s="6"/>
      <c r="E8" s="7">
        <v>1.9925999999999999</v>
      </c>
      <c r="F8" s="20">
        <v>1.9904999999999999</v>
      </c>
    </row>
    <row r="9">
      <c r="A9" s="21"/>
      <c r="B9" s="5">
        <v>1.9913000000000001</v>
      </c>
      <c r="C9" s="7">
        <v>1.988</v>
      </c>
      <c r="D9" s="6"/>
      <c r="E9" s="7">
        <v>1.9928999999999999</v>
      </c>
      <c r="F9" s="20">
        <v>1.9907999999999999</v>
      </c>
    </row>
    <row r="10">
      <c r="A10" s="21"/>
      <c r="B10" s="5">
        <v>1.9904999999999999</v>
      </c>
      <c r="C10" s="7">
        <v>1.9886999999999999</v>
      </c>
      <c r="D10" s="6"/>
      <c r="E10" s="7">
        <v>1.9905999999999999</v>
      </c>
      <c r="F10" s="20">
        <v>1.9937</v>
      </c>
    </row>
    <row r="11">
      <c r="A11" s="21"/>
      <c r="B11" s="5">
        <v>1.9905999999999999</v>
      </c>
      <c r="C11" s="7">
        <v>1.9879</v>
      </c>
      <c r="D11" s="6"/>
      <c r="E11" s="7">
        <v>1.982</v>
      </c>
      <c r="F11" s="20">
        <v>1.99</v>
      </c>
    </row>
    <row r="12">
      <c r="A12" s="21"/>
      <c r="B12" s="5">
        <v>1.9923</v>
      </c>
      <c r="C12" s="10">
        <v>1.9870000000000001</v>
      </c>
      <c r="E12" s="7">
        <v>1.9910000000000001</v>
      </c>
      <c r="F12" s="20">
        <v>1.9839</v>
      </c>
    </row>
    <row r="13">
      <c r="A13" s="22" t="s">
        <v>7</v>
      </c>
      <c r="B13" s="23">
        <f>AVERAGE(B3:B12)</f>
        <v>1.9910900000000002</v>
      </c>
      <c r="C13" s="24">
        <f>AVERAGE(C3:C12)</f>
        <v>1.9881199999999999</v>
      </c>
      <c r="D13" s="25" t="s">
        <v>7</v>
      </c>
      <c r="E13" s="23">
        <f>AVERAGE(E3:E12)</f>
        <v>1.9893800000000001</v>
      </c>
      <c r="F13" s="26">
        <f>AVERAGE(F3:F12)</f>
        <v>1.9902899999999994</v>
      </c>
    </row>
    <row r="14">
      <c r="A14" s="27" t="s">
        <v>8</v>
      </c>
      <c r="B14" s="28">
        <f>_xlfn.STDEV.S(B3:B12)</f>
        <v>5.8963265400306707e-004</v>
      </c>
      <c r="C14" s="29">
        <f>_xlfn.STDEV.S(C3:C12)</f>
        <v>7.554248252914698e-004</v>
      </c>
      <c r="D14" s="30" t="s">
        <v>8</v>
      </c>
      <c r="E14" s="28">
        <f>_xlfn.STDEV.S(E3:E12)</f>
        <v>3.5187750393819938e-003</v>
      </c>
      <c r="F14" s="31">
        <f>_xlfn.STDEV.S(F3:F12)</f>
        <v>2.9463536787018665e-003</v>
      </c>
    </row>
    <row r="15" ht="14.25">
      <c r="A15" s="32" t="s">
        <v>9</v>
      </c>
      <c r="B15" s="33">
        <f>B14/SQRT(10)</f>
        <v>1.8645821694596905e-004</v>
      </c>
      <c r="C15" s="34">
        <f>C14/SQRT(10)</f>
        <v>2.3888630489558158e-004</v>
      </c>
      <c r="D15" s="35" t="s">
        <v>9</v>
      </c>
      <c r="E15" s="33">
        <f>E14/SQRT(10)</f>
        <v>1.1127343698195788e-003</v>
      </c>
      <c r="F15" s="36">
        <f>F14/SQRT(10)</f>
        <v>9.3171884171138343e-004</v>
      </c>
    </row>
  </sheetData>
  <mergeCells count="2">
    <mergeCell ref="B1:C1"/>
    <mergeCell ref="E1:F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3" activeCellId="0" sqref="G23"/>
    </sheetView>
  </sheetViews>
  <sheetFormatPr defaultRowHeight="14.25"/>
  <cols>
    <col bestFit="1" customWidth="1" min="1" max="1" width="15.3984375"/>
    <col bestFit="1" customWidth="1" min="2" max="2" width="14.33203125"/>
    <col bestFit="1" customWidth="1" min="3" max="8" width="11.26562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>
      <c r="A1"/>
      <c r="B1" s="37" t="s">
        <v>10</v>
      </c>
      <c r="C1" s="38"/>
      <c r="D1" s="38"/>
      <c r="E1" s="38"/>
      <c r="F1" s="38"/>
      <c r="G1" s="38"/>
      <c r="H1" s="39"/>
    </row>
    <row r="2">
      <c r="A2"/>
      <c r="B2" s="40">
        <v>0.14999999999999999</v>
      </c>
      <c r="C2" s="41">
        <v>0.20000000000000001</v>
      </c>
      <c r="D2" s="42">
        <v>0.25</v>
      </c>
      <c r="E2" s="43">
        <v>0.29999999999999999</v>
      </c>
      <c r="F2" s="42">
        <v>0.34999999999999998</v>
      </c>
      <c r="G2" s="44">
        <v>0.40000000000000002</v>
      </c>
      <c r="H2" s="40">
        <v>0.45000000000000001</v>
      </c>
    </row>
    <row r="3">
      <c r="A3"/>
      <c r="B3" s="45" t="s">
        <v>11</v>
      </c>
      <c r="C3" s="46"/>
      <c r="D3" s="46"/>
      <c r="E3" s="46"/>
      <c r="F3" s="46"/>
      <c r="G3" s="46"/>
      <c r="H3" s="47"/>
    </row>
    <row r="4">
      <c r="A4"/>
      <c r="B4" s="48">
        <v>0.14330000000000001</v>
      </c>
      <c r="C4" s="49">
        <v>0.16980000000000001</v>
      </c>
      <c r="D4" s="50">
        <v>0.19339999999999999</v>
      </c>
      <c r="E4" s="50">
        <v>0.21460000000000001</v>
      </c>
      <c r="F4" s="50">
        <v>0.23419999999999999</v>
      </c>
      <c r="G4" s="51">
        <v>0.25280000000000002</v>
      </c>
      <c r="H4" s="48">
        <v>0.27129999999999999</v>
      </c>
    </row>
    <row r="5">
      <c r="A5"/>
      <c r="B5" s="52">
        <v>0.1434</v>
      </c>
      <c r="C5" s="53">
        <v>0.1716</v>
      </c>
      <c r="D5" s="54">
        <v>0.19320000000000001</v>
      </c>
      <c r="E5" s="54">
        <v>0.215</v>
      </c>
      <c r="F5" s="54">
        <v>0.2344</v>
      </c>
      <c r="G5" s="55">
        <v>0.253</v>
      </c>
      <c r="H5" s="52">
        <v>0.27189999999999998</v>
      </c>
    </row>
    <row r="6">
      <c r="A6"/>
      <c r="B6" s="52">
        <v>0.14330000000000001</v>
      </c>
      <c r="C6" s="53">
        <v>0.17100000000000001</v>
      </c>
      <c r="D6" s="54">
        <v>0.1933</v>
      </c>
      <c r="E6" s="54">
        <v>0.21490000000000001</v>
      </c>
      <c r="F6" s="54">
        <v>0.23430000000000001</v>
      </c>
      <c r="G6" s="55">
        <v>0.25369999999999998</v>
      </c>
      <c r="H6" s="52">
        <v>0.27210000000000001</v>
      </c>
    </row>
    <row r="7">
      <c r="A7"/>
      <c r="B7" s="52">
        <v>0.1431</v>
      </c>
      <c r="C7" s="53">
        <v>0.17030000000000001</v>
      </c>
      <c r="D7" s="54">
        <v>0.1933</v>
      </c>
      <c r="E7" s="54">
        <v>0.21479999999999999</v>
      </c>
      <c r="F7" s="54">
        <v>0.23419999999999999</v>
      </c>
      <c r="G7" s="55">
        <v>0.25319999999999998</v>
      </c>
      <c r="H7" s="52">
        <v>0.27079999999999999</v>
      </c>
    </row>
    <row r="8">
      <c r="A8"/>
      <c r="B8" s="52">
        <v>0.14319999999999999</v>
      </c>
      <c r="C8" s="53">
        <v>0.1706</v>
      </c>
      <c r="D8" s="54">
        <v>0.1933</v>
      </c>
      <c r="E8" s="54">
        <v>0.2152</v>
      </c>
      <c r="F8" s="54">
        <v>0.2344</v>
      </c>
      <c r="G8" s="55">
        <v>0.25359999999999999</v>
      </c>
      <c r="H8" s="52">
        <v>0.27179999999999999</v>
      </c>
    </row>
    <row r="9">
      <c r="A9"/>
      <c r="B9" s="52">
        <v>0.14330000000000001</v>
      </c>
      <c r="C9" s="53">
        <v>0.1711</v>
      </c>
      <c r="D9" s="54">
        <v>0.19359999999999999</v>
      </c>
      <c r="E9" s="54">
        <v>0.2147</v>
      </c>
      <c r="F9" s="54">
        <v>0.23449999999999999</v>
      </c>
      <c r="G9" s="55">
        <v>0.253</v>
      </c>
      <c r="H9" s="52">
        <v>0.26860000000000001</v>
      </c>
    </row>
    <row r="10">
      <c r="A10"/>
      <c r="B10" s="56">
        <v>0.1431</v>
      </c>
      <c r="C10" s="53">
        <v>0.17000000000000001</v>
      </c>
      <c r="D10" s="54">
        <v>0.19359999999999999</v>
      </c>
      <c r="E10" s="54">
        <v>0.21479999999999999</v>
      </c>
      <c r="F10" s="54">
        <v>0.23430000000000001</v>
      </c>
      <c r="G10" s="55">
        <v>0.25340000000000001</v>
      </c>
      <c r="H10" s="56">
        <v>0.26829999999999998</v>
      </c>
    </row>
    <row r="11">
      <c r="A11" s="22" t="s">
        <v>7</v>
      </c>
      <c r="B11" s="57">
        <f t="shared" ref="B11:H11" si="0">AVERAGE(B4:B10)</f>
        <v>0.14324285714285714</v>
      </c>
      <c r="C11" s="58">
        <f t="shared" si="0"/>
        <v>0.17062857142857141</v>
      </c>
      <c r="D11" s="58">
        <f t="shared" si="0"/>
        <v>0.19338571428571427</v>
      </c>
      <c r="E11" s="58">
        <f t="shared" si="0"/>
        <v>0.21485714285714286</v>
      </c>
      <c r="F11" s="58">
        <f t="shared" si="0"/>
        <v>0.23432857142857141</v>
      </c>
      <c r="G11" s="59">
        <f t="shared" si="0"/>
        <v>0.25324285714285721</v>
      </c>
      <c r="H11" s="60">
        <f t="shared" si="0"/>
        <v>0.27068571428571425</v>
      </c>
    </row>
    <row r="12">
      <c r="A12" s="61" t="s">
        <v>12</v>
      </c>
      <c r="B12" s="62">
        <f t="shared" ref="B12:H12" si="1">_xlfn.STDEV.S(B4:B10)/SQRT(7)</f>
        <v>4.2857142857143202e-005</v>
      </c>
      <c r="C12" s="63">
        <f t="shared" si="1"/>
        <v>2.4369603013188476e-004</v>
      </c>
      <c r="D12" s="63">
        <f t="shared" si="1"/>
        <v>5.9476171413316292e-005</v>
      </c>
      <c r="E12" s="63">
        <f t="shared" si="1"/>
        <v>7.514158970504462e-005</v>
      </c>
      <c r="F12" s="63">
        <f t="shared" si="1"/>
        <v>4.2056004125370102e-005</v>
      </c>
      <c r="G12" s="64">
        <f t="shared" si="1"/>
        <v>1.2697420596164739e-004</v>
      </c>
      <c r="H12" s="65">
        <f t="shared" si="1"/>
        <v>6.0056662586997192e-004</v>
      </c>
    </row>
  </sheetData>
  <mergeCells count="2">
    <mergeCell ref="B1:H1"/>
    <mergeCell ref="B3:H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2026-05-12T08:51:21Z</dcterms:created>
  <dcterms:modified xsi:type="dcterms:W3CDTF">2026-05-30T15:55:13Z</dcterms:modified>
</cp:coreProperties>
</file>