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nimibit-my.sharepoint.com/personal/m_declich_campus_unimib_it/Documents/Documenti/Università/I° anno/Laboratorio I/Esperienze in laboratorio/Banco ottico/"/>
    </mc:Choice>
  </mc:AlternateContent>
  <xr:revisionPtr revIDLastSave="2" documentId="11_2BDBA90D2CBA01F32AF056C8C349539A2B040A70" xr6:coauthVersionLast="47" xr6:coauthVersionMax="47" xr10:uidLastSave="{3660CAD5-4826-444A-8B07-AE687C84CAC7}"/>
  <bookViews>
    <workbookView xWindow="-98" yWindow="-98" windowWidth="21795" windowHeight="13695" xr2:uid="{00000000-000D-0000-FFFF-FFFF00000000}"/>
  </bookViews>
  <sheets>
    <sheet name="Angoli di rifrazione" sheetId="1" r:id="rId1"/>
    <sheet name="Distanze" sheetId="2" r:id="rId2"/>
    <sheet name="Distanze focali (250mm)" sheetId="3" r:id="rId3"/>
    <sheet name="Distanze focali (100mm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4" l="1"/>
  <c r="J6" i="4"/>
  <c r="H6" i="4"/>
  <c r="M6" i="4" s="1"/>
  <c r="F6" i="4"/>
  <c r="E6" i="4"/>
  <c r="C6" i="4"/>
  <c r="L5" i="4"/>
  <c r="K5" i="4"/>
  <c r="J5" i="4"/>
  <c r="H5" i="4"/>
  <c r="M5" i="4" s="1"/>
  <c r="E5" i="4"/>
  <c r="C5" i="4"/>
  <c r="F5" i="4" s="1"/>
  <c r="L4" i="4"/>
  <c r="J4" i="4"/>
  <c r="H4" i="4"/>
  <c r="K4" i="4" s="1"/>
  <c r="F4" i="4"/>
  <c r="E4" i="4"/>
  <c r="C4" i="4"/>
  <c r="M3" i="4"/>
  <c r="L3" i="4"/>
  <c r="K3" i="4"/>
  <c r="J3" i="4"/>
  <c r="H3" i="4"/>
  <c r="E3" i="4"/>
  <c r="C3" i="4"/>
  <c r="F3" i="4" s="1"/>
  <c r="E12" i="2"/>
  <c r="D12" i="2"/>
  <c r="E11" i="2"/>
  <c r="D11" i="2"/>
  <c r="E10" i="2"/>
  <c r="D10" i="2"/>
  <c r="E9" i="2"/>
  <c r="D9" i="2"/>
  <c r="E8" i="2"/>
  <c r="D8" i="2"/>
  <c r="C3" i="2"/>
  <c r="E3" i="2" s="1"/>
  <c r="B3" i="2"/>
  <c r="C2" i="2"/>
  <c r="E2" i="2" s="1"/>
  <c r="B2" i="2"/>
  <c r="D2" i="2" s="1"/>
  <c r="F8" i="1"/>
  <c r="D8" i="1"/>
  <c r="B8" i="1"/>
  <c r="F7" i="1"/>
  <c r="D7" i="1"/>
  <c r="B7" i="1"/>
  <c r="F6" i="1"/>
  <c r="D6" i="1"/>
  <c r="B6" i="1"/>
  <c r="F5" i="1"/>
  <c r="D5" i="1"/>
  <c r="B5" i="1"/>
  <c r="F4" i="1"/>
  <c r="D4" i="1"/>
  <c r="B4" i="1"/>
  <c r="F3" i="1"/>
  <c r="D3" i="1"/>
  <c r="B3" i="1"/>
  <c r="M7" i="3"/>
  <c r="K7" i="3"/>
  <c r="J7" i="3"/>
  <c r="H7" i="3"/>
  <c r="E7" i="3"/>
  <c r="B7" i="3"/>
  <c r="C7" i="3" s="1"/>
  <c r="J6" i="3"/>
  <c r="H6" i="3"/>
  <c r="M6" i="3" s="1"/>
  <c r="E6" i="3"/>
  <c r="B6" i="3"/>
  <c r="M5" i="3"/>
  <c r="J5" i="3"/>
  <c r="H5" i="3"/>
  <c r="K5" i="3" s="1"/>
  <c r="E5" i="3"/>
  <c r="B5" i="3"/>
  <c r="C5" i="3" s="1"/>
  <c r="K4" i="3"/>
  <c r="J4" i="3"/>
  <c r="H4" i="3"/>
  <c r="M4" i="3" s="1"/>
  <c r="E4" i="3"/>
  <c r="B4" i="3"/>
  <c r="J3" i="3"/>
  <c r="H3" i="3"/>
  <c r="M3" i="3" s="1"/>
  <c r="E3" i="3"/>
  <c r="B3" i="3"/>
  <c r="F3" i="3" s="1"/>
  <c r="L7" i="3" l="1"/>
  <c r="F7" i="3"/>
  <c r="L5" i="3"/>
  <c r="F5" i="3"/>
  <c r="D3" i="2"/>
  <c r="C9" i="2" s="1"/>
  <c r="M4" i="4"/>
  <c r="K3" i="3"/>
  <c r="L3" i="3"/>
  <c r="C4" i="3"/>
  <c r="F4" i="3" s="1"/>
  <c r="C6" i="3"/>
  <c r="F6" i="3" s="1"/>
  <c r="K6" i="3"/>
  <c r="K6" i="4"/>
  <c r="C8" i="2" l="1"/>
  <c r="C10" i="2"/>
  <c r="L6" i="3"/>
  <c r="C11" i="2"/>
  <c r="C12" i="2"/>
  <c r="L4" i="3"/>
</calcChain>
</file>

<file path=xl/sharedStrings.xml><?xml version="1.0" encoding="utf-8"?>
<sst xmlns="http://schemas.openxmlformats.org/spreadsheetml/2006/main" count="65" uniqueCount="40">
  <si>
    <t>Lato piatto</t>
  </si>
  <si>
    <t>Lato curvo</t>
  </si>
  <si>
    <t>θ inc</t>
  </si>
  <si>
    <t>sinθ inc</t>
  </si>
  <si>
    <t>θ rif</t>
  </si>
  <si>
    <t>sinθ rif</t>
  </si>
  <si>
    <t>θ critico</t>
  </si>
  <si>
    <t>Reversibilità</t>
  </si>
  <si>
    <t>θ' inc</t>
  </si>
  <si>
    <t>θ' rif</t>
  </si>
  <si>
    <t>δ minimo (rad)</t>
  </si>
  <si>
    <t>α (rad)</t>
  </si>
  <si>
    <t>n</t>
  </si>
  <si>
    <t>σn</t>
  </si>
  <si>
    <t>prisma a base triangolare</t>
  </si>
  <si>
    <t>prisma a base trapezioidale</t>
  </si>
  <si>
    <t>h prisma trapezoidale</t>
  </si>
  <si>
    <t>32mm (1mm)</t>
  </si>
  <si>
    <t>ANGOLI</t>
  </si>
  <si>
    <t>Distanza dal centro [mm]</t>
  </si>
  <si>
    <t>Distanza attesa [mm]</t>
  </si>
  <si>
    <t>Seno</t>
  </si>
  <si>
    <t>Coseno</t>
  </si>
  <si>
    <t>Fuoco 1</t>
  </si>
  <si>
    <t>Fuoco 2</t>
  </si>
  <si>
    <t>D totale</t>
  </si>
  <si>
    <t>p (mm)</t>
  </si>
  <si>
    <t>q (mm)</t>
  </si>
  <si>
    <t>h' (mm)</t>
  </si>
  <si>
    <t>M misurato</t>
  </si>
  <si>
    <t>M atteso</t>
  </si>
  <si>
    <t>DISTANZA FOCALE 1</t>
  </si>
  <si>
    <t>DISTANZA FOCALE 2</t>
  </si>
  <si>
    <t>D. MINIMA OSS.</t>
  </si>
  <si>
    <t>D. MINIMA TEOR.</t>
  </si>
  <si>
    <t>999mm</t>
  </si>
  <si>
    <t>1000 mm</t>
  </si>
  <si>
    <t>h'</t>
  </si>
  <si>
    <t>405 mm</t>
  </si>
  <si>
    <t>400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</si>
</sst>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" x14ac:knownFonts="1">
    <font>
      <sz val="11"/>
      <color theme="1"/>
      <name val="Aptos Narrow"/>
      <scheme val="minor"/>
    </font>
    <font>
      <u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4285F4"/>
        <bgColor rgb="FF4285F4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</fills>
  <borders count="33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1"/>
      </left>
      <right/>
      <top style="medium">
        <color theme="1"/>
      </top>
      <bottom style="medium">
        <color auto="1"/>
      </bottom>
      <diagonal/>
    </border>
    <border>
      <left/>
      <right style="medium">
        <color theme="1"/>
      </right>
      <top style="medium">
        <color theme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4" xfId="0" applyFill="1" applyBorder="1"/>
    <xf numFmtId="1" fontId="0" fillId="0" borderId="5" xfId="0" applyNumberFormat="1" applyBorder="1"/>
    <xf numFmtId="164" fontId="0" fillId="0" borderId="6" xfId="0" applyNumberFormat="1" applyBorder="1"/>
    <xf numFmtId="0" fontId="0" fillId="0" borderId="6" xfId="0" applyBorder="1"/>
    <xf numFmtId="164" fontId="0" fillId="0" borderId="7" xfId="0" applyNumberFormat="1" applyBorder="1"/>
    <xf numFmtId="0" fontId="0" fillId="0" borderId="8" xfId="0" applyBorder="1"/>
    <xf numFmtId="0" fontId="0" fillId="0" borderId="9" xfId="0" applyBorder="1"/>
    <xf numFmtId="164" fontId="0" fillId="0" borderId="0" xfId="0" applyNumberFormat="1"/>
    <xf numFmtId="164" fontId="0" fillId="0" borderId="10" xfId="0" applyNumberFormat="1" applyBorder="1"/>
    <xf numFmtId="0" fontId="0" fillId="0" borderId="11" xfId="0" applyBorder="1"/>
    <xf numFmtId="164" fontId="0" fillId="0" borderId="12" xfId="0" applyNumberFormat="1" applyBorder="1"/>
    <xf numFmtId="0" fontId="0" fillId="0" borderId="12" xfId="0" applyBorder="1"/>
    <xf numFmtId="164" fontId="0" fillId="0" borderId="13" xfId="0" applyNumberFormat="1" applyBorder="1"/>
    <xf numFmtId="0" fontId="0" fillId="3" borderId="3" xfId="0" applyFill="1" applyBorder="1"/>
    <xf numFmtId="0" fontId="1" fillId="0" borderId="0" xfId="0" applyFont="1"/>
    <xf numFmtId="0" fontId="0" fillId="0" borderId="5" xfId="0" applyBorder="1"/>
    <xf numFmtId="0" fontId="0" fillId="0" borderId="7" xfId="0" applyBorder="1"/>
    <xf numFmtId="0" fontId="0" fillId="0" borderId="10" xfId="0" applyBorder="1"/>
    <xf numFmtId="0" fontId="0" fillId="0" borderId="13" xfId="0" applyBorder="1"/>
    <xf numFmtId="0" fontId="0" fillId="4" borderId="2" xfId="0" applyFill="1" applyBorder="1"/>
    <xf numFmtId="0" fontId="0" fillId="4" borderId="3" xfId="0" applyFill="1" applyBorder="1"/>
    <xf numFmtId="0" fontId="0" fillId="3" borderId="5" xfId="0" applyFill="1" applyBorder="1"/>
    <xf numFmtId="2" fontId="0" fillId="0" borderId="5" xfId="0" applyNumberFormat="1" applyBorder="1"/>
    <xf numFmtId="2" fontId="0" fillId="0" borderId="7" xfId="0" applyNumberFormat="1" applyBorder="1"/>
    <xf numFmtId="2" fontId="0" fillId="0" borderId="6" xfId="0" applyNumberFormat="1" applyBorder="1"/>
    <xf numFmtId="2" fontId="0" fillId="0" borderId="7" xfId="0" quotePrefix="1" applyNumberFormat="1" applyBorder="1"/>
    <xf numFmtId="0" fontId="0" fillId="3" borderId="11" xfId="0" applyFill="1" applyBorder="1"/>
    <xf numFmtId="2" fontId="0" fillId="0" borderId="11" xfId="0" applyNumberFormat="1" applyBorder="1"/>
    <xf numFmtId="2" fontId="0" fillId="0" borderId="13" xfId="0" applyNumberFormat="1" applyBorder="1"/>
    <xf numFmtId="2" fontId="0" fillId="0" borderId="12" xfId="0" applyNumberFormat="1" applyBorder="1"/>
    <xf numFmtId="2" fontId="0" fillId="0" borderId="13" xfId="0" quotePrefix="1" applyNumberFormat="1" applyBorder="1"/>
    <xf numFmtId="0" fontId="0" fillId="5" borderId="1" xfId="0" applyFill="1" applyBorder="1"/>
    <xf numFmtId="0" fontId="0" fillId="5" borderId="3" xfId="0" applyFill="1" applyBorder="1"/>
    <xf numFmtId="0" fontId="0" fillId="3" borderId="6" xfId="0" applyFill="1" applyBorder="1"/>
    <xf numFmtId="0" fontId="0" fillId="3" borderId="7" xfId="0" applyFill="1" applyBorder="1"/>
    <xf numFmtId="0" fontId="0" fillId="5" borderId="14" xfId="0" applyFill="1" applyBorder="1"/>
    <xf numFmtId="2" fontId="0" fillId="0" borderId="0" xfId="0" applyNumberFormat="1"/>
    <xf numFmtId="0" fontId="0" fillId="5" borderId="8" xfId="0" applyFill="1" applyBorder="1"/>
    <xf numFmtId="0" fontId="0" fillId="5" borderId="17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3" borderId="17" xfId="0" applyFill="1" applyBorder="1" applyAlignment="1">
      <alignment wrapText="1"/>
    </xf>
    <xf numFmtId="0" fontId="0" fillId="0" borderId="14" xfId="0" applyBorder="1"/>
    <xf numFmtId="0" fontId="0" fillId="0" borderId="16" xfId="0" applyBorder="1"/>
    <xf numFmtId="164" fontId="0" fillId="0" borderId="15" xfId="0" applyNumberFormat="1" applyBorder="1"/>
    <xf numFmtId="165" fontId="0" fillId="0" borderId="16" xfId="0" applyNumberFormat="1" applyBorder="1"/>
    <xf numFmtId="0" fontId="0" fillId="0" borderId="15" xfId="0" applyBorder="1"/>
    <xf numFmtId="2" fontId="0" fillId="0" borderId="21" xfId="0" applyNumberFormat="1" applyBorder="1"/>
    <xf numFmtId="2" fontId="0" fillId="0" borderId="22" xfId="0" applyNumberFormat="1" applyBorder="1"/>
    <xf numFmtId="166" fontId="0" fillId="0" borderId="15" xfId="0" applyNumberFormat="1" applyBorder="1"/>
    <xf numFmtId="166" fontId="0" fillId="0" borderId="0" xfId="0" applyNumberFormat="1"/>
    <xf numFmtId="0" fontId="0" fillId="0" borderId="8" xfId="0" applyBorder="1" applyAlignment="1">
      <alignment horizontal="right"/>
    </xf>
    <xf numFmtId="2" fontId="0" fillId="0" borderId="15" xfId="0" applyNumberFormat="1" applyBorder="1"/>
    <xf numFmtId="2" fontId="0" fillId="0" borderId="16" xfId="0" applyNumberFormat="1" applyBorder="1"/>
    <xf numFmtId="166" fontId="0" fillId="0" borderId="16" xfId="0" applyNumberFormat="1" applyBorder="1"/>
    <xf numFmtId="0" fontId="0" fillId="0" borderId="23" xfId="0" applyBorder="1"/>
    <xf numFmtId="0" fontId="0" fillId="0" borderId="24" xfId="0" applyBorder="1"/>
    <xf numFmtId="164" fontId="0" fillId="0" borderId="25" xfId="0" applyNumberFormat="1" applyBorder="1"/>
    <xf numFmtId="165" fontId="0" fillId="0" borderId="24" xfId="0" applyNumberFormat="1" applyBorder="1"/>
    <xf numFmtId="0" fontId="0" fillId="0" borderId="25" xfId="0" applyBorder="1"/>
    <xf numFmtId="2" fontId="0" fillId="0" borderId="25" xfId="0" applyNumberFormat="1" applyBorder="1"/>
    <xf numFmtId="2" fontId="0" fillId="0" borderId="24" xfId="0" applyNumberFormat="1" applyBorder="1"/>
    <xf numFmtId="166" fontId="0" fillId="0" borderId="25" xfId="0" applyNumberFormat="1" applyBorder="1"/>
    <xf numFmtId="166" fontId="0" fillId="0" borderId="24" xfId="0" applyNumberFormat="1" applyBorder="1"/>
    <xf numFmtId="0" fontId="0" fillId="5" borderId="4" xfId="0" applyFill="1" applyBorder="1"/>
    <xf numFmtId="0" fontId="0" fillId="3" borderId="26" xfId="0" applyFill="1" applyBorder="1"/>
    <xf numFmtId="0" fontId="0" fillId="3" borderId="22" xfId="0" applyFill="1" applyBorder="1"/>
    <xf numFmtId="0" fontId="0" fillId="3" borderId="21" xfId="0" applyFill="1" applyBorder="1"/>
    <xf numFmtId="0" fontId="0" fillId="3" borderId="16" xfId="0" applyFill="1" applyBorder="1"/>
    <xf numFmtId="0" fontId="0" fillId="3" borderId="27" xfId="0" applyFill="1" applyBorder="1"/>
    <xf numFmtId="0" fontId="0" fillId="3" borderId="20" xfId="0" applyFill="1" applyBorder="1" applyAlignment="1">
      <alignment wrapText="1"/>
    </xf>
    <xf numFmtId="0" fontId="0" fillId="0" borderId="30" xfId="0" applyBorder="1"/>
    <xf numFmtId="166" fontId="0" fillId="0" borderId="26" xfId="0" applyNumberFormat="1" applyBorder="1"/>
    <xf numFmtId="0" fontId="0" fillId="0" borderId="26" xfId="0" applyBorder="1"/>
    <xf numFmtId="0" fontId="0" fillId="0" borderId="22" xfId="0" applyBorder="1"/>
    <xf numFmtId="0" fontId="0" fillId="0" borderId="21" xfId="0" applyBorder="1"/>
    <xf numFmtId="166" fontId="0" fillId="0" borderId="22" xfId="0" applyNumberFormat="1" applyBorder="1"/>
    <xf numFmtId="166" fontId="0" fillId="0" borderId="31" xfId="0" applyNumberFormat="1" applyBorder="1"/>
    <xf numFmtId="0" fontId="0" fillId="0" borderId="18" xfId="0" applyBorder="1" applyAlignment="1">
      <alignment horizontal="right"/>
    </xf>
    <xf numFmtId="166" fontId="0" fillId="0" borderId="30" xfId="0" applyNumberFormat="1" applyBorder="1"/>
    <xf numFmtId="0" fontId="0" fillId="0" borderId="32" xfId="0" applyBorder="1"/>
    <xf numFmtId="166" fontId="0" fillId="0" borderId="23" xfId="0" applyNumberFormat="1" applyBorder="1"/>
    <xf numFmtId="166" fontId="0" fillId="0" borderId="32" xfId="0" applyNumberFormat="1" applyBorder="1"/>
    <xf numFmtId="0" fontId="0" fillId="4" borderId="1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6" xfId="0" applyFill="1" applyBorder="1" applyAlignment="1">
      <alignment horizontal="center"/>
    </xf>
    <xf numFmtId="0" fontId="0" fillId="3" borderId="6" xfId="0" applyFill="1" applyBorder="1" applyAlignment="1">
      <alignment horizontal="center" vertical="top" wrapText="1"/>
    </xf>
    <xf numFmtId="0" fontId="0" fillId="3" borderId="7" xfId="0" applyFill="1" applyBorder="1" applyAlignment="1">
      <alignment horizontal="center" vertical="top" wrapText="1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3" borderId="28" xfId="0" applyFill="1" applyBorder="1" applyAlignment="1">
      <alignment horizontal="center" vertical="top" wrapText="1"/>
    </xf>
    <xf numFmtId="0" fontId="0" fillId="3" borderId="29" xfId="0" applyFill="1" applyBorder="1" applyAlignment="1">
      <alignment horizontal="center" vertical="top" wrapText="1"/>
    </xf>
    <xf numFmtId="0" fontId="0" fillId="0" borderId="11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F20" sqref="F20"/>
    </sheetView>
  </sheetViews>
  <sheetFormatPr defaultRowHeight="14.25" x14ac:dyDescent="0.45"/>
  <cols>
    <col min="1" max="1" width="4.46484375" bestFit="1" customWidth="1"/>
    <col min="2" max="2" width="8.1328125" customWidth="1"/>
    <col min="3" max="3" width="4.796875" bestFit="1"/>
    <col min="4" max="4" width="11.1328125" bestFit="1"/>
    <col min="5" max="5" width="4.796875" bestFit="1"/>
    <col min="6" max="6" width="11.1328125" bestFit="1"/>
    <col min="7" max="7" width="6.86328125" bestFit="1"/>
  </cols>
  <sheetData>
    <row r="1" spans="1:9" x14ac:dyDescent="0.45">
      <c r="C1" s="94" t="s">
        <v>0</v>
      </c>
      <c r="D1" s="95"/>
      <c r="E1" s="95" t="s">
        <v>1</v>
      </c>
      <c r="F1" s="96"/>
    </row>
    <row r="2" spans="1:9" x14ac:dyDescent="0.45">
      <c r="A2" s="1" t="s">
        <v>2</v>
      </c>
      <c r="B2" s="2" t="s">
        <v>3</v>
      </c>
      <c r="C2" s="2" t="s">
        <v>4</v>
      </c>
      <c r="D2" s="2" t="s">
        <v>5</v>
      </c>
      <c r="E2" s="2" t="s">
        <v>4</v>
      </c>
      <c r="F2" s="2" t="s">
        <v>5</v>
      </c>
      <c r="G2" s="3" t="s">
        <v>6</v>
      </c>
    </row>
    <row r="3" spans="1:9" x14ac:dyDescent="0.45">
      <c r="A3" s="4">
        <v>20</v>
      </c>
      <c r="B3" s="5">
        <f t="shared" ref="B3:B8" si="0">SIN((A3*PI())/180)</f>
        <v>0.34202014332566871</v>
      </c>
      <c r="C3" s="6">
        <v>13</v>
      </c>
      <c r="D3" s="5">
        <f t="shared" ref="D3:D8" si="1">SIN((C3*PI())/180)</f>
        <v>0.224951054343865</v>
      </c>
      <c r="E3" s="6">
        <v>30</v>
      </c>
      <c r="F3" s="7">
        <f t="shared" ref="F3:F8" si="2">SIN((E3*PI())/180)</f>
        <v>0.49999999999999994</v>
      </c>
      <c r="G3" s="8">
        <v>44</v>
      </c>
    </row>
    <row r="4" spans="1:9" x14ac:dyDescent="0.45">
      <c r="A4" s="9">
        <v>25</v>
      </c>
      <c r="B4" s="10">
        <f t="shared" si="0"/>
        <v>0.42261826174069944</v>
      </c>
      <c r="C4">
        <v>16</v>
      </c>
      <c r="D4" s="10">
        <f t="shared" si="1"/>
        <v>0.27563735581699916</v>
      </c>
      <c r="E4">
        <v>39</v>
      </c>
      <c r="F4" s="11">
        <f t="shared" si="2"/>
        <v>0.62932039104983739</v>
      </c>
    </row>
    <row r="5" spans="1:9" x14ac:dyDescent="0.45">
      <c r="A5" s="9">
        <v>30</v>
      </c>
      <c r="B5" s="10">
        <f t="shared" si="0"/>
        <v>0.49999999999999994</v>
      </c>
      <c r="C5">
        <v>20</v>
      </c>
      <c r="D5" s="10">
        <f t="shared" si="1"/>
        <v>0.34202014332566871</v>
      </c>
      <c r="E5">
        <v>48</v>
      </c>
      <c r="F5" s="11">
        <f t="shared" si="2"/>
        <v>0.74314482547739413</v>
      </c>
    </row>
    <row r="6" spans="1:9" x14ac:dyDescent="0.45">
      <c r="A6" s="9">
        <v>45</v>
      </c>
      <c r="B6" s="10">
        <f t="shared" si="0"/>
        <v>0.70710678118654746</v>
      </c>
      <c r="C6">
        <v>28</v>
      </c>
      <c r="D6" s="10">
        <f t="shared" si="1"/>
        <v>0.46947156278589081</v>
      </c>
      <c r="E6">
        <v>136</v>
      </c>
      <c r="F6" s="11">
        <f t="shared" si="2"/>
        <v>0.69465837045899714</v>
      </c>
    </row>
    <row r="7" spans="1:9" x14ac:dyDescent="0.45">
      <c r="A7" s="9">
        <v>60</v>
      </c>
      <c r="B7" s="10">
        <f t="shared" si="0"/>
        <v>0.8660254037844386</v>
      </c>
      <c r="C7">
        <v>35</v>
      </c>
      <c r="D7" s="10">
        <f t="shared" si="1"/>
        <v>0.57357643635104605</v>
      </c>
      <c r="E7">
        <v>120</v>
      </c>
      <c r="F7" s="11">
        <f t="shared" si="2"/>
        <v>0.86602540378443871</v>
      </c>
    </row>
    <row r="8" spans="1:9" x14ac:dyDescent="0.45">
      <c r="A8" s="12">
        <v>70</v>
      </c>
      <c r="B8" s="13">
        <f t="shared" si="0"/>
        <v>0.93969262078590832</v>
      </c>
      <c r="C8" s="14">
        <v>39</v>
      </c>
      <c r="D8" s="13">
        <f t="shared" si="1"/>
        <v>0.62932039104983739</v>
      </c>
      <c r="E8" s="14">
        <v>111</v>
      </c>
      <c r="F8" s="15">
        <f t="shared" si="2"/>
        <v>0.93358042649720174</v>
      </c>
    </row>
    <row r="10" spans="1:9" x14ac:dyDescent="0.45">
      <c r="A10" s="94" t="s">
        <v>7</v>
      </c>
      <c r="B10" s="96"/>
      <c r="C10" s="2" t="s">
        <v>8</v>
      </c>
      <c r="D10" s="2" t="s">
        <v>9</v>
      </c>
      <c r="E10" s="2" t="s">
        <v>8</v>
      </c>
      <c r="F10" s="16" t="s">
        <v>9</v>
      </c>
      <c r="I10" s="17"/>
    </row>
    <row r="11" spans="1:9" x14ac:dyDescent="0.45">
      <c r="C11" s="18">
        <v>13</v>
      </c>
      <c r="D11" s="6">
        <v>19</v>
      </c>
      <c r="E11" s="6">
        <v>30</v>
      </c>
      <c r="F11" s="19">
        <v>20</v>
      </c>
    </row>
    <row r="12" spans="1:9" x14ac:dyDescent="0.45">
      <c r="C12" s="9">
        <v>16</v>
      </c>
      <c r="D12">
        <v>24</v>
      </c>
      <c r="E12">
        <v>39</v>
      </c>
      <c r="F12" s="20">
        <v>25</v>
      </c>
    </row>
    <row r="13" spans="1:9" x14ac:dyDescent="0.45">
      <c r="C13" s="9">
        <v>20</v>
      </c>
      <c r="D13">
        <v>30</v>
      </c>
      <c r="E13">
        <v>48</v>
      </c>
      <c r="F13" s="20">
        <v>30</v>
      </c>
    </row>
    <row r="14" spans="1:9" x14ac:dyDescent="0.45">
      <c r="C14" s="9">
        <v>28</v>
      </c>
      <c r="D14">
        <v>44</v>
      </c>
      <c r="E14">
        <v>136</v>
      </c>
      <c r="F14" s="20">
        <v>45</v>
      </c>
    </row>
    <row r="15" spans="1:9" x14ac:dyDescent="0.45">
      <c r="C15" s="9">
        <v>35</v>
      </c>
      <c r="D15">
        <v>57</v>
      </c>
      <c r="E15">
        <v>120</v>
      </c>
      <c r="F15" s="20">
        <v>58</v>
      </c>
    </row>
    <row r="16" spans="1:9" x14ac:dyDescent="0.45">
      <c r="C16" s="12">
        <v>39</v>
      </c>
      <c r="D16" s="14">
        <v>68</v>
      </c>
      <c r="E16" s="14">
        <v>111</v>
      </c>
      <c r="F16" s="21">
        <v>69</v>
      </c>
    </row>
  </sheetData>
  <mergeCells count="3">
    <mergeCell ref="C1:D1"/>
    <mergeCell ref="E1:F1"/>
    <mergeCell ref="A10:B10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F22" sqref="F22"/>
    </sheetView>
  </sheetViews>
  <sheetFormatPr defaultRowHeight="14.25" x14ac:dyDescent="0.45"/>
  <cols>
    <col min="1" max="1" width="23.46484375" customWidth="1"/>
    <col min="2" max="2" width="20.59765625" bestFit="1" customWidth="1"/>
    <col min="3" max="3" width="17.59765625" bestFit="1" customWidth="1"/>
    <col min="4" max="4" width="12.3984375" bestFit="1" customWidth="1"/>
    <col min="5" max="5" width="10.265625" bestFit="1" customWidth="1"/>
  </cols>
  <sheetData>
    <row r="1" spans="1:5" x14ac:dyDescent="0.45">
      <c r="B1" s="1" t="s">
        <v>10</v>
      </c>
      <c r="C1" s="16" t="s">
        <v>11</v>
      </c>
      <c r="D1" s="22" t="s">
        <v>12</v>
      </c>
      <c r="E1" s="23" t="s">
        <v>13</v>
      </c>
    </row>
    <row r="2" spans="1:5" x14ac:dyDescent="0.45">
      <c r="A2" s="24" t="s">
        <v>14</v>
      </c>
      <c r="B2" s="25">
        <f>PI()/4</f>
        <v>0.78539816339744828</v>
      </c>
      <c r="C2" s="26">
        <f>PI()/3</f>
        <v>1.0471975511965976</v>
      </c>
      <c r="D2" s="27">
        <f t="shared" ref="D2:D3" si="0">(SIN((B2/2)+(C2/2))/(SIN(C2/2)))</f>
        <v>1.5867066805824706</v>
      </c>
      <c r="E2" s="28">
        <f>((1/(2*SIN(C2/2)))*COS(((PI()/180)+C2)/2))*((PI()/180))</f>
        <v>1.5038265780899104E-2</v>
      </c>
    </row>
    <row r="3" spans="1:5" x14ac:dyDescent="0.45">
      <c r="A3" s="29" t="s">
        <v>15</v>
      </c>
      <c r="B3" s="30">
        <f>(27*PI())/180</f>
        <v>0.47123889803846897</v>
      </c>
      <c r="C3" s="31">
        <f>PI()/4</f>
        <v>0.78539816339744828</v>
      </c>
      <c r="D3" s="32">
        <f t="shared" si="0"/>
        <v>1.5359568838917252</v>
      </c>
      <c r="E3" s="33">
        <f>((1/(2*SIN(C3/2)))*COS(((PI()/180)+C3)/2))*((PI()/180))</f>
        <v>2.0991032162068827E-2</v>
      </c>
    </row>
    <row r="5" spans="1:5" x14ac:dyDescent="0.45">
      <c r="A5" s="34" t="s">
        <v>16</v>
      </c>
      <c r="B5" s="35" t="s">
        <v>17</v>
      </c>
    </row>
    <row r="7" spans="1:5" x14ac:dyDescent="0.45">
      <c r="A7" s="3" t="s">
        <v>18</v>
      </c>
      <c r="B7" s="36" t="s">
        <v>19</v>
      </c>
      <c r="C7" s="36" t="s">
        <v>20</v>
      </c>
      <c r="D7" s="36" t="s">
        <v>21</v>
      </c>
      <c r="E7" s="37" t="s">
        <v>22</v>
      </c>
    </row>
    <row r="8" spans="1:5" x14ac:dyDescent="0.45">
      <c r="A8" s="38">
        <v>10</v>
      </c>
      <c r="B8">
        <v>2</v>
      </c>
      <c r="C8" s="39">
        <f>32*D8*(1-(E8/SQRT(D3^2-D8^2)))</f>
        <v>1.9709421734493859</v>
      </c>
      <c r="D8" s="10">
        <f t="shared" ref="D8:D12" si="1">SIN((A8*PI())/180)</f>
        <v>0.17364817766693033</v>
      </c>
      <c r="E8" s="11">
        <f t="shared" ref="E8:E12" si="2">COS((A8*PI())/180)</f>
        <v>0.98480775301220802</v>
      </c>
    </row>
    <row r="9" spans="1:5" x14ac:dyDescent="0.45">
      <c r="A9" s="38">
        <v>20</v>
      </c>
      <c r="B9">
        <v>4</v>
      </c>
      <c r="C9" s="39">
        <f>32*D9*(1-(E9/SQRT(D3^2-D9^2)))</f>
        <v>4.0763062050074748</v>
      </c>
      <c r="D9" s="10">
        <f>SIN((A9*PI())/180)</f>
        <v>0.34202014332566871</v>
      </c>
      <c r="E9" s="11">
        <f t="shared" si="2"/>
        <v>0.93969262078590843</v>
      </c>
    </row>
    <row r="10" spans="1:5" x14ac:dyDescent="0.45">
      <c r="A10" s="38">
        <v>30</v>
      </c>
      <c r="B10">
        <v>6</v>
      </c>
      <c r="C10" s="39">
        <f>32*D10*(1-(E10/SQRT(D3^2-D10^2)))</f>
        <v>6.4589650713431856</v>
      </c>
      <c r="D10" s="10">
        <f t="shared" si="1"/>
        <v>0.49999999999999994</v>
      </c>
      <c r="E10" s="11">
        <f t="shared" si="2"/>
        <v>0.86602540378443871</v>
      </c>
    </row>
    <row r="11" spans="1:5" x14ac:dyDescent="0.45">
      <c r="A11" s="38">
        <v>40</v>
      </c>
      <c r="B11">
        <v>9</v>
      </c>
      <c r="C11" s="39">
        <f>32*D11*(1-(E11/SQRT(D3^2-D11^2)))</f>
        <v>9.2738090225061391</v>
      </c>
      <c r="D11" s="10">
        <f t="shared" si="1"/>
        <v>0.64278760968653925</v>
      </c>
      <c r="E11" s="11">
        <f t="shared" si="2"/>
        <v>0.76604444311897801</v>
      </c>
    </row>
    <row r="12" spans="1:5" x14ac:dyDescent="0.45">
      <c r="A12" s="40">
        <v>50</v>
      </c>
      <c r="B12" s="14">
        <v>12</v>
      </c>
      <c r="C12" s="32">
        <f>32*D12*(1-(E12/SQRT(D3^2-D12^2)))</f>
        <v>12.677612089302682</v>
      </c>
      <c r="D12" s="13">
        <f t="shared" si="1"/>
        <v>0.76604444311897801</v>
      </c>
      <c r="E12" s="15">
        <f t="shared" si="2"/>
        <v>0.64278760968653936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"/>
  <sheetViews>
    <sheetView workbookViewId="0">
      <selection activeCell="G16" sqref="G16"/>
    </sheetView>
  </sheetViews>
  <sheetFormatPr defaultRowHeight="14.25" x14ac:dyDescent="0.45"/>
  <cols>
    <col min="8" max="8" width="10.19921875" customWidth="1"/>
    <col min="9" max="9" width="10.9296875" customWidth="1"/>
    <col min="10" max="10" width="13.9296875" customWidth="1"/>
    <col min="11" max="11" width="14.9296875" customWidth="1"/>
    <col min="12" max="12" width="16.9296875" customWidth="1"/>
    <col min="13" max="13" width="16.86328125" customWidth="1"/>
    <col min="14" max="14" width="17" customWidth="1"/>
    <col min="15" max="15" width="9" bestFit="1" customWidth="1"/>
  </cols>
  <sheetData>
    <row r="1" spans="1:16" x14ac:dyDescent="0.45">
      <c r="B1" s="87" t="s">
        <v>23</v>
      </c>
      <c r="C1" s="88"/>
      <c r="D1" s="88"/>
      <c r="E1" s="88"/>
      <c r="F1" s="89"/>
      <c r="G1" s="87" t="s">
        <v>24</v>
      </c>
      <c r="H1" s="88"/>
      <c r="I1" s="88"/>
      <c r="J1" s="88"/>
      <c r="K1" s="88"/>
    </row>
    <row r="2" spans="1:16" x14ac:dyDescent="0.45">
      <c r="A2" s="41" t="s">
        <v>25</v>
      </c>
      <c r="B2" s="42" t="s">
        <v>26</v>
      </c>
      <c r="C2" s="42" t="s">
        <v>27</v>
      </c>
      <c r="D2" s="43" t="s">
        <v>28</v>
      </c>
      <c r="E2" s="42" t="s">
        <v>29</v>
      </c>
      <c r="F2" s="42" t="s">
        <v>30</v>
      </c>
      <c r="G2" s="44" t="s">
        <v>26</v>
      </c>
      <c r="H2" s="42" t="s">
        <v>27</v>
      </c>
      <c r="I2" s="43" t="s">
        <v>28</v>
      </c>
      <c r="J2" s="42" t="s">
        <v>29</v>
      </c>
      <c r="K2" s="42" t="s">
        <v>30</v>
      </c>
      <c r="L2" s="44" t="s">
        <v>31</v>
      </c>
      <c r="M2" s="42" t="s">
        <v>32</v>
      </c>
      <c r="N2" s="45" t="s">
        <v>33</v>
      </c>
      <c r="O2" s="90" t="s">
        <v>34</v>
      </c>
      <c r="P2" s="91"/>
    </row>
    <row r="3" spans="1:16" x14ac:dyDescent="0.45">
      <c r="A3" s="46">
        <v>1100</v>
      </c>
      <c r="B3">
        <f>39*10</f>
        <v>390</v>
      </c>
      <c r="C3">
        <v>710</v>
      </c>
      <c r="D3" s="47">
        <v>77</v>
      </c>
      <c r="E3" s="48">
        <f t="shared" ref="E3:E7" si="0">D3/40</f>
        <v>1.925</v>
      </c>
      <c r="F3" s="49">
        <f t="shared" ref="F3:F7" si="1">C3/B3</f>
        <v>1.8205128205128205</v>
      </c>
      <c r="G3" s="50">
        <v>720</v>
      </c>
      <c r="H3">
        <f t="shared" ref="H3:H7" si="2">A3-G3</f>
        <v>380</v>
      </c>
      <c r="I3" s="47">
        <v>22</v>
      </c>
      <c r="J3" s="51">
        <f t="shared" ref="J3:J7" si="3">I3/40</f>
        <v>0.55000000000000004</v>
      </c>
      <c r="K3" s="52">
        <f t="shared" ref="K3:K7" si="4">H3/G3</f>
        <v>0.52777777777777779</v>
      </c>
      <c r="L3" s="53">
        <f t="shared" ref="L3:L7" si="5">(B3*C3)/(B3+C3)</f>
        <v>251.72727272727272</v>
      </c>
      <c r="M3" s="54">
        <f t="shared" ref="M3:M7" si="6">(G3*H3)/(G3+H3)</f>
        <v>248.72727272727272</v>
      </c>
      <c r="N3" s="55" t="s">
        <v>35</v>
      </c>
      <c r="O3" s="92" t="s">
        <v>36</v>
      </c>
      <c r="P3" s="93"/>
    </row>
    <row r="4" spans="1:16" x14ac:dyDescent="0.45">
      <c r="A4" s="46">
        <v>1200</v>
      </c>
      <c r="B4">
        <f>35.5*10</f>
        <v>355</v>
      </c>
      <c r="C4">
        <f t="shared" ref="C4:C7" si="7">A4-B4</f>
        <v>845</v>
      </c>
      <c r="D4" s="47">
        <v>100</v>
      </c>
      <c r="E4" s="48">
        <f t="shared" si="0"/>
        <v>2.5</v>
      </c>
      <c r="F4" s="49">
        <f t="shared" si="1"/>
        <v>2.380281690140845</v>
      </c>
      <c r="G4" s="50">
        <v>850</v>
      </c>
      <c r="H4">
        <f t="shared" si="2"/>
        <v>350</v>
      </c>
      <c r="I4" s="47">
        <v>18</v>
      </c>
      <c r="J4" s="56">
        <f t="shared" si="3"/>
        <v>0.45</v>
      </c>
      <c r="K4" s="57">
        <f t="shared" si="4"/>
        <v>0.41176470588235292</v>
      </c>
      <c r="L4" s="53">
        <f t="shared" si="5"/>
        <v>249.97916666666666</v>
      </c>
      <c r="M4" s="58">
        <f t="shared" si="6"/>
        <v>247.91666666666666</v>
      </c>
    </row>
    <row r="5" spans="1:16" x14ac:dyDescent="0.45">
      <c r="A5" s="46">
        <v>1300</v>
      </c>
      <c r="B5">
        <f>34*10</f>
        <v>340</v>
      </c>
      <c r="C5">
        <f t="shared" si="7"/>
        <v>960</v>
      </c>
      <c r="D5" s="47">
        <v>119</v>
      </c>
      <c r="E5" s="48">
        <f t="shared" si="0"/>
        <v>2.9750000000000001</v>
      </c>
      <c r="F5" s="49">
        <f t="shared" si="1"/>
        <v>2.8235294117647061</v>
      </c>
      <c r="G5" s="50">
        <v>968</v>
      </c>
      <c r="H5">
        <f t="shared" si="2"/>
        <v>332</v>
      </c>
      <c r="I5" s="47">
        <v>15</v>
      </c>
      <c r="J5" s="56">
        <f t="shared" si="3"/>
        <v>0.375</v>
      </c>
      <c r="K5" s="57">
        <f t="shared" si="4"/>
        <v>0.34297520661157027</v>
      </c>
      <c r="L5" s="53">
        <f t="shared" si="5"/>
        <v>251.07692307692307</v>
      </c>
      <c r="M5" s="58">
        <f t="shared" si="6"/>
        <v>247.21230769230769</v>
      </c>
    </row>
    <row r="6" spans="1:16" x14ac:dyDescent="0.45">
      <c r="A6" s="46">
        <v>1400</v>
      </c>
      <c r="B6">
        <f>32.9*10</f>
        <v>329</v>
      </c>
      <c r="C6">
        <f t="shared" si="7"/>
        <v>1071</v>
      </c>
      <c r="D6" s="47">
        <v>137</v>
      </c>
      <c r="E6" s="48">
        <f t="shared" si="0"/>
        <v>3.4249999999999998</v>
      </c>
      <c r="F6" s="49">
        <f t="shared" si="1"/>
        <v>3.2553191489361701</v>
      </c>
      <c r="G6" s="50">
        <v>1074</v>
      </c>
      <c r="H6">
        <f t="shared" si="2"/>
        <v>326</v>
      </c>
      <c r="I6" s="47">
        <v>13</v>
      </c>
      <c r="J6" s="56">
        <f t="shared" si="3"/>
        <v>0.32500000000000001</v>
      </c>
      <c r="K6" s="57">
        <f t="shared" si="4"/>
        <v>0.30353817504655495</v>
      </c>
      <c r="L6" s="53">
        <f t="shared" si="5"/>
        <v>251.685</v>
      </c>
      <c r="M6" s="58">
        <f t="shared" si="6"/>
        <v>250.08857142857144</v>
      </c>
    </row>
    <row r="7" spans="1:16" x14ac:dyDescent="0.45">
      <c r="A7" s="8">
        <v>1500</v>
      </c>
      <c r="B7" s="59">
        <f>31.9*10</f>
        <v>319</v>
      </c>
      <c r="C7" s="59">
        <f t="shared" si="7"/>
        <v>1181</v>
      </c>
      <c r="D7" s="60">
        <v>155</v>
      </c>
      <c r="E7" s="61">
        <f t="shared" si="0"/>
        <v>3.875</v>
      </c>
      <c r="F7" s="62">
        <f t="shared" si="1"/>
        <v>3.7021943573667713</v>
      </c>
      <c r="G7" s="63">
        <v>1186</v>
      </c>
      <c r="H7" s="59">
        <f t="shared" si="2"/>
        <v>314</v>
      </c>
      <c r="I7" s="60">
        <v>12</v>
      </c>
      <c r="J7" s="64">
        <f t="shared" si="3"/>
        <v>0.3</v>
      </c>
      <c r="K7" s="65">
        <f t="shared" si="4"/>
        <v>0.26475548060708265</v>
      </c>
      <c r="L7" s="66">
        <f t="shared" si="5"/>
        <v>251.15933333333334</v>
      </c>
      <c r="M7" s="67">
        <f t="shared" si="6"/>
        <v>248.26933333333332</v>
      </c>
    </row>
    <row r="13" spans="1:16" x14ac:dyDescent="0.45">
      <c r="L13" s="17"/>
    </row>
  </sheetData>
  <mergeCells count="4">
    <mergeCell ref="B1:F1"/>
    <mergeCell ref="G1:K1"/>
    <mergeCell ref="O2:P2"/>
    <mergeCell ref="O3:P3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"/>
  <sheetViews>
    <sheetView workbookViewId="0">
      <selection activeCell="L3" sqref="L3:M6"/>
    </sheetView>
  </sheetViews>
  <sheetFormatPr defaultRowHeight="14.25" x14ac:dyDescent="0.45"/>
  <cols>
    <col min="2" max="2" width="9.46484375" customWidth="1"/>
    <col min="8" max="8" width="9.86328125" customWidth="1"/>
    <col min="9" max="10" width="11.19921875" customWidth="1"/>
    <col min="12" max="13" width="19.06640625" bestFit="1" customWidth="1"/>
    <col min="14" max="14" width="14.46484375" bestFit="1" customWidth="1"/>
    <col min="15" max="15" width="9" bestFit="1" customWidth="1"/>
  </cols>
  <sheetData>
    <row r="1" spans="1:16" x14ac:dyDescent="0.45">
      <c r="B1" s="87" t="s">
        <v>23</v>
      </c>
      <c r="C1" s="88"/>
      <c r="D1" s="88"/>
      <c r="E1" s="88"/>
      <c r="F1" s="89"/>
      <c r="G1" s="97" t="s">
        <v>24</v>
      </c>
      <c r="H1" s="98"/>
      <c r="I1" s="98"/>
      <c r="J1" s="98"/>
      <c r="K1" s="99"/>
    </row>
    <row r="2" spans="1:16" x14ac:dyDescent="0.45">
      <c r="A2" s="68" t="s">
        <v>25</v>
      </c>
      <c r="B2" s="69" t="s">
        <v>26</v>
      </c>
      <c r="C2" s="69" t="s">
        <v>27</v>
      </c>
      <c r="D2" s="70" t="s">
        <v>37</v>
      </c>
      <c r="E2" s="44" t="s">
        <v>29</v>
      </c>
      <c r="F2" s="43" t="s">
        <v>30</v>
      </c>
      <c r="G2" s="71" t="s">
        <v>26</v>
      </c>
      <c r="H2" s="69" t="s">
        <v>27</v>
      </c>
      <c r="I2" s="72" t="s">
        <v>37</v>
      </c>
      <c r="J2" s="44" t="s">
        <v>29</v>
      </c>
      <c r="K2" s="43" t="s">
        <v>30</v>
      </c>
      <c r="L2" s="73" t="s">
        <v>31</v>
      </c>
      <c r="M2" s="43" t="s">
        <v>32</v>
      </c>
      <c r="N2" s="74" t="s">
        <v>33</v>
      </c>
      <c r="O2" s="100" t="s">
        <v>34</v>
      </c>
      <c r="P2" s="101"/>
    </row>
    <row r="3" spans="1:16" x14ac:dyDescent="0.45">
      <c r="A3" s="75">
        <v>600</v>
      </c>
      <c r="B3" s="76">
        <v>139</v>
      </c>
      <c r="C3" s="77">
        <f t="shared" ref="C3:C6" si="0">A3-B3</f>
        <v>461</v>
      </c>
      <c r="D3" s="78">
        <v>146</v>
      </c>
      <c r="E3" s="79">
        <f t="shared" ref="E3:E6" si="1">D3/40</f>
        <v>3.65</v>
      </c>
      <c r="F3" s="78">
        <f t="shared" ref="F3:F6" si="2">C3/B3</f>
        <v>3.3165467625899279</v>
      </c>
      <c r="G3" s="79">
        <v>467</v>
      </c>
      <c r="H3" s="77">
        <f t="shared" ref="H3:H6" si="3">A3-G3</f>
        <v>133</v>
      </c>
      <c r="I3" s="78">
        <v>13</v>
      </c>
      <c r="J3" s="79">
        <f t="shared" ref="J3:J6" si="4">I3/40</f>
        <v>0.32500000000000001</v>
      </c>
      <c r="K3" s="78">
        <f t="shared" ref="K3:K6" si="5">H3/G3</f>
        <v>0.28479657387580298</v>
      </c>
      <c r="L3" s="80">
        <f t="shared" ref="L3:L6" si="6">(B3*C3)/(B3+C3)</f>
        <v>106.79833333333333</v>
      </c>
      <c r="M3" s="81">
        <f t="shared" ref="M3:M6" si="7">(G3*H3)/(G3+H3)</f>
        <v>103.51833333333333</v>
      </c>
      <c r="N3" s="82" t="s">
        <v>38</v>
      </c>
      <c r="O3" s="102" t="s">
        <v>39</v>
      </c>
      <c r="P3" s="93"/>
    </row>
    <row r="4" spans="1:16" x14ac:dyDescent="0.45">
      <c r="A4" s="75">
        <v>550</v>
      </c>
      <c r="B4" s="54">
        <v>146</v>
      </c>
      <c r="C4">
        <f t="shared" si="0"/>
        <v>404</v>
      </c>
      <c r="D4" s="47">
        <v>120</v>
      </c>
      <c r="E4" s="50">
        <f t="shared" si="1"/>
        <v>3</v>
      </c>
      <c r="F4" s="47">
        <f t="shared" si="2"/>
        <v>2.7671232876712328</v>
      </c>
      <c r="G4" s="50">
        <v>413</v>
      </c>
      <c r="H4">
        <f t="shared" si="3"/>
        <v>137</v>
      </c>
      <c r="I4" s="47">
        <v>15</v>
      </c>
      <c r="J4" s="50">
        <f t="shared" si="4"/>
        <v>0.375</v>
      </c>
      <c r="K4" s="47">
        <f t="shared" si="5"/>
        <v>0.33171912832929784</v>
      </c>
      <c r="L4" s="58">
        <f t="shared" si="6"/>
        <v>107.24363636363637</v>
      </c>
      <c r="M4" s="83">
        <f t="shared" si="7"/>
        <v>102.87454545454545</v>
      </c>
    </row>
    <row r="5" spans="1:16" x14ac:dyDescent="0.45">
      <c r="A5" s="75">
        <v>500</v>
      </c>
      <c r="B5" s="54">
        <v>155</v>
      </c>
      <c r="C5">
        <f t="shared" si="0"/>
        <v>345</v>
      </c>
      <c r="D5" s="47">
        <v>98</v>
      </c>
      <c r="E5" s="50">
        <f t="shared" si="1"/>
        <v>2.4500000000000002</v>
      </c>
      <c r="F5" s="47">
        <f t="shared" si="2"/>
        <v>2.225806451612903</v>
      </c>
      <c r="G5" s="50">
        <v>355</v>
      </c>
      <c r="H5">
        <f t="shared" si="3"/>
        <v>145</v>
      </c>
      <c r="I5" s="47">
        <v>19</v>
      </c>
      <c r="J5" s="50">
        <f t="shared" si="4"/>
        <v>0.47499999999999998</v>
      </c>
      <c r="K5" s="47">
        <f t="shared" si="5"/>
        <v>0.40845070422535212</v>
      </c>
      <c r="L5" s="58">
        <f t="shared" si="6"/>
        <v>106.95</v>
      </c>
      <c r="M5" s="83">
        <f t="shared" si="7"/>
        <v>102.95</v>
      </c>
    </row>
    <row r="6" spans="1:16" x14ac:dyDescent="0.45">
      <c r="A6" s="84">
        <v>450</v>
      </c>
      <c r="B6" s="85">
        <v>173</v>
      </c>
      <c r="C6" s="59">
        <f t="shared" si="0"/>
        <v>277</v>
      </c>
      <c r="D6" s="60">
        <v>68</v>
      </c>
      <c r="E6" s="63">
        <f t="shared" si="1"/>
        <v>1.7</v>
      </c>
      <c r="F6" s="60">
        <f t="shared" si="2"/>
        <v>1.6011560693641618</v>
      </c>
      <c r="G6" s="63">
        <v>285</v>
      </c>
      <c r="H6" s="59">
        <f t="shared" si="3"/>
        <v>165</v>
      </c>
      <c r="I6" s="60">
        <v>26</v>
      </c>
      <c r="J6" s="63">
        <f t="shared" si="4"/>
        <v>0.65</v>
      </c>
      <c r="K6" s="60">
        <f t="shared" si="5"/>
        <v>0.57894736842105265</v>
      </c>
      <c r="L6" s="67">
        <f t="shared" si="6"/>
        <v>106.49111111111111</v>
      </c>
      <c r="M6" s="86">
        <f t="shared" si="7"/>
        <v>104.5</v>
      </c>
    </row>
    <row r="8" spans="1:16" x14ac:dyDescent="0.45">
      <c r="D8" s="17"/>
    </row>
  </sheetData>
  <mergeCells count="4">
    <mergeCell ref="B1:F1"/>
    <mergeCell ref="G1:K1"/>
    <mergeCell ref="O2:P2"/>
    <mergeCell ref="O3:P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Angoli di rifrazione</vt:lpstr>
      <vt:lpstr>Distanze</vt:lpstr>
      <vt:lpstr>Distanze focali (250mm)</vt:lpstr>
      <vt:lpstr>Distanze focali (100mm)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m.declich@campus.unimib.it</dc:creator>
  <cp:lastModifiedBy>m.declich@campus.unimib.it</cp:lastModifiedBy>
  <cp:revision>4</cp:revision>
  <dcterms:created xsi:type="dcterms:W3CDTF">2026-03-17T09:57:36Z</dcterms:created>
  <dcterms:modified xsi:type="dcterms:W3CDTF">2026-06-03T15:04:48Z</dcterms:modified>
</cp:coreProperties>
</file>