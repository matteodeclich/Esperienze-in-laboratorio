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88" documentId="8_{CDCF4D3F-7C6B-46D0-AEF3-502DEF423704}" xr6:coauthVersionLast="47" xr6:coauthVersionMax="47" xr10:uidLastSave="{803626B9-8058-4B77-BEC6-232DBC9FC688}"/>
  <bookViews>
    <workbookView xWindow="-98" yWindow="-98" windowWidth="21795" windowHeight="12975" xr2:uid="{907717A8-4905-415C-BF7B-CA392B2ABF8C}"/>
  </bookViews>
  <sheets>
    <sheet name="Misura masse" sheetId="1" r:id="rId1"/>
    <sheet name="Carrello" sheetId="4" r:id="rId2"/>
    <sheet name="Piano inclinato" sheetId="6" r:id="rId3"/>
    <sheet name="Urti" sheetId="3" r:id="rId4"/>
    <sheet name="Foglio1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6" l="1"/>
  <c r="D8" i="6" s="1"/>
  <c r="B7" i="6"/>
  <c r="B8" i="6" s="1"/>
  <c r="E6" i="6"/>
  <c r="D6" i="6"/>
  <c r="C6" i="6"/>
  <c r="B6" i="6"/>
  <c r="D7" i="4"/>
  <c r="D8" i="4" s="1"/>
  <c r="E6" i="4"/>
  <c r="D6" i="4"/>
  <c r="B7" i="4"/>
  <c r="B8" i="4" s="1"/>
  <c r="C6" i="4"/>
  <c r="B6" i="4"/>
  <c r="F2" i="1"/>
  <c r="B3" i="2"/>
  <c r="B4" i="2"/>
  <c r="B5" i="2"/>
  <c r="B6" i="2"/>
  <c r="B2" i="2"/>
  <c r="A8" i="2"/>
  <c r="A7" i="2"/>
</calcChain>
</file>

<file path=xl/sharedStrings.xml><?xml version="1.0" encoding="utf-8"?>
<sst xmlns="http://schemas.openxmlformats.org/spreadsheetml/2006/main" count="31" uniqueCount="26">
  <si>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</si>
  <si>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</si>
  <si>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</si>
  <si>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</si>
  <si>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</si>
  <si>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</si>
  <si>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</si>
  <si>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</si>
  <si>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 xml:space="preserve">Massa </t>
  </si>
  <si>
    <t>Massa con molla</t>
  </si>
  <si>
    <t>Massa con magnete</t>
  </si>
  <si>
    <t>Interpolazione carrello</t>
  </si>
  <si>
    <t>Interpolazione carrello+masse</t>
  </si>
  <si>
    <t>Errore sulla massa (kg)</t>
  </si>
  <si>
    <t>Interpolazione piano inclinato</t>
  </si>
  <si>
    <t>θ</t>
  </si>
  <si>
    <t>sθ</t>
  </si>
  <si>
    <t>m (kg)</t>
  </si>
  <si>
    <t>sm (kg)</t>
  </si>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</sst>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5" borderId="4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Border="1"/>
    <xf numFmtId="0" fontId="0" fillId="0" borderId="6" xfId="0" applyBorder="1"/>
    <xf numFmtId="0" fontId="0" fillId="2" borderId="1" xfId="0" applyFill="1" applyBorder="1" applyAlignment="1">
      <alignment horizontal="center"/>
    </xf>
    <xf numFmtId="0" fontId="0" fillId="0" borderId="3" xfId="0" applyBorder="1"/>
    <xf numFmtId="0" fontId="0" fillId="6" borderId="4" xfId="0" applyFill="1" applyBorder="1"/>
    <xf numFmtId="0" fontId="0" fillId="6" borderId="5" xfId="0" applyFill="1" applyBorder="1"/>
    <xf numFmtId="0" fontId="0" fillId="6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16"/>
  <sheetViews>
    <sheetView tabSelected="1" workbookViewId="0">
      <selection activeCell="I7" sqref="I7"/>
    </sheetView>
  </sheetViews>
  <sheetFormatPr defaultRowHeight="14.25" x14ac:dyDescent="0.45"/>
  <cols>
    <col min="1" max="1" width="15.19921875" customWidth="1"/>
    <col min="2" max="2" width="14.9296875" bestFit="1" customWidth="1"/>
    <col min="3" max="3" width="13.3984375" bestFit="1" customWidth="1"/>
    <col min="4" max="5" width="10.796875" bestFit="1" customWidth="1"/>
    <col min="6" max="6" width="14.265625" bestFit="1" customWidth="1"/>
    <col min="7" max="8" width="15.1328125" bestFit="1" customWidth="1"/>
    <col min="9" max="9" width="18.398437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0"/>
      <c r="B1" s="8" t="s">
        <v>19</v>
      </c>
      <c r="C1" s="9" t="s">
        <v>20</v>
      </c>
      <c r="D1" s="18" t="s">
        <v>21</v>
      </c>
      <c r="E1" s="18" t="s">
        <v>22</v>
      </c>
      <c r="F1" s="1" t="s">
        <v>23</v>
      </c>
      <c r="G1" s="18" t="s">
        <v>24</v>
      </c>
      <c r="H1" s="16" t="s">
        <v>25</v>
      </c>
      <c r="I1" s="19" t="s">
        <v>13</v>
      </c>
    </row>
    <row r="2" spans="1:17" ht="14.65" thickBot="1" x14ac:dyDescent="0.5">
      <c r="A2" s="1" t="s">
        <v>8</v>
      </c>
      <c r="C2" s="2">
        <v>0.25452000000000002</v>
      </c>
      <c r="D2" s="2">
        <v>0.25314999999999999</v>
      </c>
      <c r="E2" s="2">
        <v>0.25374999999999998</v>
      </c>
      <c r="F2" s="2">
        <f>SUM(C2:E2)</f>
        <v>0.76141999999999999</v>
      </c>
      <c r="G2" s="2">
        <v>0.29006999999999999</v>
      </c>
      <c r="H2" s="11">
        <v>0.18593999999999999</v>
      </c>
      <c r="I2" s="17">
        <v>5.0000000000000001E-4</v>
      </c>
    </row>
    <row r="3" spans="1:17" x14ac:dyDescent="0.45">
      <c r="A3" s="1" t="s">
        <v>10</v>
      </c>
      <c r="B3" s="2">
        <v>0.25634000000000001</v>
      </c>
      <c r="C3" s="2">
        <v>0.27538000000000001</v>
      </c>
      <c r="H3" s="5"/>
    </row>
    <row r="4" spans="1:17" ht="14.65" thickBot="1" x14ac:dyDescent="0.5">
      <c r="A4" s="13" t="s">
        <v>9</v>
      </c>
      <c r="B4" s="6"/>
      <c r="C4" s="12">
        <v>0.25686999999999999</v>
      </c>
      <c r="D4" s="6"/>
      <c r="E4" s="6"/>
      <c r="F4" s="6"/>
      <c r="G4" s="6"/>
      <c r="H4" s="7"/>
    </row>
    <row r="15" spans="1:17" x14ac:dyDescent="0.45">
      <c r="O15" s="2"/>
    </row>
    <row r="16" spans="1:17" x14ac:dyDescent="0.45">
      <c r="O16" s="2"/>
      <c r="P16" s="2"/>
      <c r="Q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D20B8-4704-416F-978B-B5A7A6B8003E}">
  <dimension ref="A1:E8"/>
  <sheetViews>
    <sheetView workbookViewId="0">
      <selection activeCell="B2" sqref="B2:E2"/>
    </sheetView>
  </sheetViews>
  <sheetFormatPr defaultRowHeight="14.25" x14ac:dyDescent="0.45"/>
  <cols>
    <col min="4" max="4" width="11.73046875" bestFit="1" customWidth="1"/>
    <col min="5" max="5" width="13.46484375" customWidth="1"/>
  </cols>
  <sheetData>
    <row r="1" spans="1:5" x14ac:dyDescent="0.45">
      <c r="A1" s="3"/>
      <c r="B1" s="26" t="s">
        <v>11</v>
      </c>
      <c r="C1" s="23"/>
      <c r="D1" s="22" t="s">
        <v>12</v>
      </c>
      <c r="E1" s="23"/>
    </row>
    <row r="2" spans="1:5" ht="14.65" thickBot="1" x14ac:dyDescent="0.5">
      <c r="A2" s="4"/>
      <c r="B2" s="28" t="s">
        <v>17</v>
      </c>
      <c r="C2" s="29" t="s">
        <v>18</v>
      </c>
      <c r="D2" s="30" t="s">
        <v>17</v>
      </c>
      <c r="E2" s="29" t="s">
        <v>18</v>
      </c>
    </row>
    <row r="3" spans="1:5" x14ac:dyDescent="0.45">
      <c r="A3" s="3">
        <v>1</v>
      </c>
      <c r="B3" s="4">
        <v>0.249</v>
      </c>
      <c r="C3" s="5">
        <v>0.04</v>
      </c>
      <c r="D3" s="24">
        <v>0.76900000000000002</v>
      </c>
      <c r="E3" s="5">
        <v>4.2999999999999997E-2</v>
      </c>
    </row>
    <row r="4" spans="1:5" x14ac:dyDescent="0.45">
      <c r="A4" s="4">
        <v>2</v>
      </c>
      <c r="B4" s="4">
        <v>0.253</v>
      </c>
      <c r="C4" s="5">
        <v>4.2999999999999997E-2</v>
      </c>
      <c r="D4" s="24">
        <v>0.755</v>
      </c>
      <c r="E4" s="5">
        <v>3.7999999999999999E-2</v>
      </c>
    </row>
    <row r="5" spans="1:5" ht="14.65" thickBot="1" x14ac:dyDescent="0.5">
      <c r="A5" s="25">
        <v>3</v>
      </c>
      <c r="B5" s="4">
        <v>0.247</v>
      </c>
      <c r="C5" s="5">
        <v>4.2000000000000003E-2</v>
      </c>
      <c r="D5" s="24">
        <v>0.749</v>
      </c>
      <c r="E5" s="5">
        <v>3.7999999999999999E-2</v>
      </c>
    </row>
    <row r="6" spans="1:5" x14ac:dyDescent="0.45">
      <c r="A6" s="20" t="s">
        <v>2</v>
      </c>
      <c r="B6" s="4">
        <f>AVERAGE(B3:B5)</f>
        <v>0.24966666666666668</v>
      </c>
      <c r="C6" s="5">
        <f>SQRT(C3^2+C4^2+C5^2)/3</f>
        <v>2.4067036008246265E-2</v>
      </c>
      <c r="D6" s="24">
        <f>AVERAGE(D3:D5)</f>
        <v>0.75766666666666671</v>
      </c>
      <c r="E6" s="5">
        <f>SQRT(E3^2+E4^2+E5^2)/3</f>
        <v>2.2941955743426352E-2</v>
      </c>
    </row>
    <row r="7" spans="1:5" x14ac:dyDescent="0.45">
      <c r="A7" s="20" t="s">
        <v>3</v>
      </c>
      <c r="B7" s="4">
        <f>_xlfn.STDEV.S(B3:B5)</f>
        <v>3.0550504633038958E-3</v>
      </c>
      <c r="C7" s="5"/>
      <c r="D7" s="24">
        <f>_xlfn.STDEV.S(D3:D5)</f>
        <v>1.0263202878893778E-2</v>
      </c>
      <c r="E7" s="5"/>
    </row>
    <row r="8" spans="1:5" ht="14.65" thickBot="1" x14ac:dyDescent="0.5">
      <c r="A8" s="21" t="s">
        <v>7</v>
      </c>
      <c r="B8" s="25">
        <f>B7/SQRT(3)</f>
        <v>1.7638342073763953E-3</v>
      </c>
      <c r="C8" s="7"/>
      <c r="D8" s="6">
        <f>D7/SQRT(3)</f>
        <v>5.9254629448770649E-3</v>
      </c>
      <c r="E8" s="7"/>
    </row>
  </sheetData>
  <mergeCells count="2">
    <mergeCell ref="B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11AF-387E-46AF-B6A9-D2FF56ED2C76}">
  <dimension ref="A1:G8"/>
  <sheetViews>
    <sheetView workbookViewId="0">
      <selection activeCell="F13" sqref="F13"/>
    </sheetView>
  </sheetViews>
  <sheetFormatPr defaultRowHeight="14.25" x14ac:dyDescent="0.45"/>
  <sheetData>
    <row r="1" spans="1:7" ht="14.65" thickBot="1" x14ac:dyDescent="0.5">
      <c r="A1" s="3"/>
      <c r="B1" s="26" t="s">
        <v>14</v>
      </c>
      <c r="C1" s="22"/>
      <c r="D1" s="22"/>
      <c r="E1" s="23"/>
      <c r="F1" s="15" t="s">
        <v>4</v>
      </c>
      <c r="G1" s="16" t="s">
        <v>5</v>
      </c>
    </row>
    <row r="2" spans="1:7" ht="14.65" thickBot="1" x14ac:dyDescent="0.5">
      <c r="A2" s="4"/>
      <c r="B2" s="3" t="s">
        <v>0</v>
      </c>
      <c r="C2" s="10" t="s">
        <v>1</v>
      </c>
      <c r="D2" s="10" t="s">
        <v>15</v>
      </c>
      <c r="E2" s="27" t="s">
        <v>16</v>
      </c>
      <c r="F2" s="12">
        <v>10</v>
      </c>
      <c r="G2" s="14">
        <v>1</v>
      </c>
    </row>
    <row r="3" spans="1:7" x14ac:dyDescent="0.45">
      <c r="A3" s="4">
        <v>1</v>
      </c>
      <c r="B3" s="4">
        <v>0.26400000000000001</v>
      </c>
      <c r="C3" s="24">
        <v>1.9E-3</v>
      </c>
      <c r="D3" s="24">
        <v>0.17599999999999999</v>
      </c>
      <c r="E3" s="5">
        <v>1.5E-3</v>
      </c>
    </row>
    <row r="4" spans="1:7" x14ac:dyDescent="0.45">
      <c r="A4" s="4">
        <v>2</v>
      </c>
      <c r="B4" s="4">
        <v>0.25700000000000001</v>
      </c>
      <c r="C4" s="24">
        <v>1.8E-3</v>
      </c>
      <c r="D4" s="24">
        <v>0.16</v>
      </c>
      <c r="E4" s="5">
        <v>3.0999999999999999E-3</v>
      </c>
    </row>
    <row r="5" spans="1:7" x14ac:dyDescent="0.45">
      <c r="A5" s="4">
        <v>3</v>
      </c>
      <c r="B5" s="4">
        <v>0.26</v>
      </c>
      <c r="C5" s="24">
        <v>3.2000000000000002E-3</v>
      </c>
      <c r="D5" s="24">
        <v>0.17499999999999999</v>
      </c>
      <c r="E5" s="5">
        <v>2.3E-3</v>
      </c>
    </row>
    <row r="6" spans="1:7" x14ac:dyDescent="0.45">
      <c r="A6" s="20" t="s">
        <v>2</v>
      </c>
      <c r="B6" s="4">
        <f>AVERAGE(B3:B5)</f>
        <v>0.26033333333333336</v>
      </c>
      <c r="C6" s="24">
        <f>SQRT(C3^2+C4^2+C5^2)/3</f>
        <v>1.3780017739062926E-3</v>
      </c>
      <c r="D6" s="24">
        <f>AVERAGE(D3:D5)</f>
        <v>0.17033333333333331</v>
      </c>
      <c r="E6" s="5">
        <f>AVERAGE(E3:E5)</f>
        <v>2.3E-3</v>
      </c>
    </row>
    <row r="7" spans="1:7" x14ac:dyDescent="0.45">
      <c r="A7" s="20" t="s">
        <v>3</v>
      </c>
      <c r="B7" s="4">
        <f>_xlfn.STDEV.S(B3:B5)</f>
        <v>3.5118845842842493E-3</v>
      </c>
      <c r="C7" s="24"/>
      <c r="D7" s="24">
        <f>_xlfn.STDEV.S(D3:D5)</f>
        <v>8.9628864398324931E-3</v>
      </c>
      <c r="E7" s="5"/>
    </row>
    <row r="8" spans="1:7" ht="14.65" thickBot="1" x14ac:dyDescent="0.5">
      <c r="A8" s="21" t="s">
        <v>7</v>
      </c>
      <c r="B8" s="25">
        <f>B7/SQRT(3)</f>
        <v>2.0275875100994084E-3</v>
      </c>
      <c r="C8" s="6"/>
      <c r="D8" s="6">
        <f>D7/SQRT(3)</f>
        <v>5.1747248987533368E-3</v>
      </c>
      <c r="E8" s="7"/>
    </row>
  </sheetData>
  <mergeCells count="1">
    <mergeCell ref="B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650D-6BE1-4288-A9ED-8CD51BE871FF}">
  <dimension ref="A1"/>
  <sheetViews>
    <sheetView topLeftCell="B1" workbookViewId="0"/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Misura masse</vt:lpstr>
      <vt:lpstr>Carrello</vt:lpstr>
      <vt:lpstr>Piano inclinato</vt:lpstr>
      <vt:lpstr>Urti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2026-05-21T18:32:24Z</dcterms:modified>
</cp:coreProperties>
</file>