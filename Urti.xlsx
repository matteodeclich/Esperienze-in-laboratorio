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11" documentId="8_{CDCF4D3F-7C6B-46D0-AEF3-502DEF423704}" xr6:coauthVersionLast="47" xr6:coauthVersionMax="47" xr10:uidLastSave="{2CCEA149-4DA5-4CCA-8620-49100C0ED38E}"/>
  <bookViews>
    <workbookView xWindow="10718" yWindow="0" windowWidth="10965" windowHeight="12863" xr2:uid="{907717A8-4905-415C-BF7B-CA392B2ABF8C}"/>
  </bookViews>
  <sheets>
    <sheet name="Misura masse" sheetId="1" r:id="rId1"/>
    <sheet name="Foglio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" i="1" l="1"/>
  <c r="E22" i="1"/>
  <c r="C22" i="1"/>
  <c r="C14" i="1"/>
  <c r="C6" i="1"/>
  <c r="D23" i="1"/>
  <c r="D24" i="1" s="1"/>
  <c r="B22" i="1"/>
  <c r="B23" i="1"/>
  <c r="B24" i="1" s="1"/>
  <c r="I2" i="1"/>
  <c r="B15" i="1"/>
  <c r="B16" i="1" s="1"/>
  <c r="B14" i="1"/>
  <c r="B7" i="1"/>
  <c r="B8" i="1" s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<sst xmlns="http://schemas.openxmlformats.org/spreadsheetml/2006/main" count="35" uniqueCount="25">
  <si>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</si>
  <si>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</si>
  <si>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</si>
  <si>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</si>
  <si>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</si>
  <si>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</si>
  <si>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</si>
  <si>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</si>
  <si>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</si>
  <si>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</si>
  <si>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</si>
  <si>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</si>
  <si>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</si>
  <si>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</si>
  <si>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</si>
  <si>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</si>
  <si>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</si>
  <si>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Interpolazione carrello+masse</t>
  </si>
  <si>
    <t>massa 2</t>
  </si>
  <si>
    <t>Errore sulla massa (kg)</t>
  </si>
  <si>
    <t>Massa totale</t>
  </si>
  <si>
    <t>Interpolazione piano inclinato</t>
  </si>
  <si>
    <t>θ</t>
  </si>
  <si>
    <t>sθ</t>
  </si>
  <si>
    <t>git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</si>
</sst>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6" xfId="0" applyNumberFormat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Border="1"/>
    <xf numFmtId="0" fontId="0" fillId="0" borderId="3" xfId="0" applyBorder="1"/>
    <xf numFmtId="0" fontId="0" fillId="0" borderId="5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29"/>
  <sheetViews>
    <sheetView tabSelected="1" workbookViewId="0">
      <selection activeCell="D12" sqref="D12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3"/>
      <c r="B1" s="22" t="s">
        <v>13</v>
      </c>
      <c r="C1" s="23"/>
      <c r="D1" s="11"/>
      <c r="E1" s="9" t="s">
        <v>8</v>
      </c>
      <c r="F1" s="10" t="s">
        <v>9</v>
      </c>
      <c r="G1" s="20" t="s">
        <v>16</v>
      </c>
      <c r="H1" s="20" t="s">
        <v>18</v>
      </c>
      <c r="I1" s="1" t="s">
        <v>20</v>
      </c>
      <c r="J1" s="20" t="s">
        <v>14</v>
      </c>
      <c r="K1" s="18" t="s">
        <v>15</v>
      </c>
      <c r="L1" s="21" t="s">
        <v>19</v>
      </c>
    </row>
    <row r="2" spans="1:17" ht="14.65" thickBot="1" x14ac:dyDescent="0.5">
      <c r="A2" s="4"/>
      <c r="B2" t="s">
        <v>0</v>
      </c>
      <c r="C2" s="5" t="s">
        <v>1</v>
      </c>
      <c r="D2" s="1" t="s">
        <v>10</v>
      </c>
      <c r="F2" s="2">
        <v>0.25452000000000002</v>
      </c>
      <c r="G2" s="2">
        <v>0.25314999999999999</v>
      </c>
      <c r="H2" s="2">
        <v>0.25374999999999998</v>
      </c>
      <c r="I2" s="2">
        <f>SUM(F2:H2)</f>
        <v>0.76141999999999999</v>
      </c>
      <c r="J2" s="2">
        <v>0.29006999999999999</v>
      </c>
      <c r="K2" s="12">
        <v>0.18593999999999999</v>
      </c>
      <c r="L2" s="19">
        <v>5.0000000000000001E-4</v>
      </c>
    </row>
    <row r="3" spans="1:17" x14ac:dyDescent="0.45">
      <c r="A3" s="4">
        <v>1</v>
      </c>
      <c r="B3">
        <v>0.249</v>
      </c>
      <c r="C3" s="5">
        <v>0.04</v>
      </c>
      <c r="D3" s="1" t="s">
        <v>12</v>
      </c>
      <c r="E3" s="2">
        <v>0.25634000000000001</v>
      </c>
      <c r="F3" s="2">
        <v>0.27538000000000001</v>
      </c>
      <c r="K3" s="5"/>
    </row>
    <row r="4" spans="1:17" ht="14.65" thickBot="1" x14ac:dyDescent="0.5">
      <c r="A4" s="4">
        <v>2</v>
      </c>
      <c r="B4">
        <v>0.253</v>
      </c>
      <c r="C4" s="5">
        <v>4.2999999999999997E-2</v>
      </c>
      <c r="D4" s="14" t="s">
        <v>11</v>
      </c>
      <c r="E4" s="7"/>
      <c r="F4" s="13">
        <v>0.25686999999999999</v>
      </c>
      <c r="G4" s="7"/>
      <c r="H4" s="7"/>
      <c r="I4" s="7"/>
      <c r="J4" s="7"/>
      <c r="K4" s="8"/>
    </row>
    <row r="5" spans="1:17" x14ac:dyDescent="0.45">
      <c r="A5" s="4">
        <v>3</v>
      </c>
      <c r="B5">
        <v>0.247</v>
      </c>
      <c r="C5" s="5">
        <v>4.2000000000000003E-2</v>
      </c>
      <c r="D5" s="17" t="s">
        <v>4</v>
      </c>
      <c r="E5" s="18" t="s">
        <v>5</v>
      </c>
    </row>
    <row r="6" spans="1:17" ht="14.65" thickBot="1" x14ac:dyDescent="0.5">
      <c r="A6" s="4" t="s">
        <v>2</v>
      </c>
      <c r="B6">
        <f>AVERAGE(B3:B5)</f>
        <v>0.24966666666666668</v>
      </c>
      <c r="C6">
        <f>AVERAGE(C3:C5)</f>
        <v>4.1666666666666664E-2</v>
      </c>
      <c r="D6" s="15">
        <v>10</v>
      </c>
      <c r="E6" s="16">
        <v>1</v>
      </c>
    </row>
    <row r="7" spans="1:17" x14ac:dyDescent="0.45">
      <c r="A7" s="4" t="s">
        <v>3</v>
      </c>
      <c r="B7">
        <f>_xlfn.STDEV.S(B3:B5)</f>
        <v>3.0550504633038958E-3</v>
      </c>
      <c r="C7" s="5"/>
    </row>
    <row r="8" spans="1:17" ht="14.65" thickBot="1" x14ac:dyDescent="0.5">
      <c r="A8" s="6" t="s">
        <v>7</v>
      </c>
      <c r="B8" s="7">
        <f>B7/SQRT(3)</f>
        <v>1.7638342073763953E-3</v>
      </c>
      <c r="C8" s="8"/>
    </row>
    <row r="9" spans="1:17" x14ac:dyDescent="0.45">
      <c r="A9" s="3"/>
      <c r="B9" s="22" t="s">
        <v>17</v>
      </c>
      <c r="C9" s="23"/>
    </row>
    <row r="10" spans="1:17" x14ac:dyDescent="0.45">
      <c r="A10" s="4"/>
      <c r="B10" t="s">
        <v>0</v>
      </c>
      <c r="C10" s="5" t="s">
        <v>1</v>
      </c>
    </row>
    <row r="11" spans="1:17" x14ac:dyDescent="0.45">
      <c r="A11" s="4">
        <v>1</v>
      </c>
      <c r="B11">
        <v>0.76900000000000002</v>
      </c>
      <c r="C11" s="5">
        <v>4.2999999999999997E-2</v>
      </c>
    </row>
    <row r="12" spans="1:17" x14ac:dyDescent="0.45">
      <c r="A12" s="4">
        <v>2</v>
      </c>
      <c r="B12">
        <v>0.755</v>
      </c>
      <c r="C12" s="5">
        <v>3.7999999999999999E-2</v>
      </c>
    </row>
    <row r="13" spans="1:17" x14ac:dyDescent="0.45">
      <c r="A13" s="4">
        <v>3</v>
      </c>
      <c r="B13">
        <v>0.749</v>
      </c>
      <c r="C13" s="5">
        <v>3.7999999999999999E-2</v>
      </c>
    </row>
    <row r="14" spans="1:17" x14ac:dyDescent="0.45">
      <c r="A14" s="4" t="s">
        <v>2</v>
      </c>
      <c r="B14">
        <f>AVERAGE(B11:B13)</f>
        <v>0.75766666666666671</v>
      </c>
      <c r="C14">
        <f>AVERAGE(C11:C13)</f>
        <v>3.9666666666666663E-2</v>
      </c>
    </row>
    <row r="15" spans="1:17" x14ac:dyDescent="0.45">
      <c r="A15" s="4" t="s">
        <v>3</v>
      </c>
      <c r="B15">
        <f>_xlfn.STDEV.S(B11:B13)</f>
        <v>1.0263202878893778E-2</v>
      </c>
      <c r="C15" s="5"/>
      <c r="O15" s="2"/>
    </row>
    <row r="16" spans="1:17" ht="14.65" thickBot="1" x14ac:dyDescent="0.5">
      <c r="A16" s="4" t="s">
        <v>7</v>
      </c>
      <c r="B16" s="24">
        <f>B15/SQRT(3)</f>
        <v>5.9254629448770649E-3</v>
      </c>
      <c r="C16" s="5"/>
      <c r="O16" s="2"/>
      <c r="P16" s="2"/>
      <c r="Q16" s="2"/>
    </row>
    <row r="17" spans="1:5" x14ac:dyDescent="0.45">
      <c r="A17" s="3"/>
      <c r="B17" s="22" t="s">
        <v>21</v>
      </c>
      <c r="C17" s="23"/>
      <c r="D17" s="11"/>
      <c r="E17" s="25"/>
    </row>
    <row r="18" spans="1:5" x14ac:dyDescent="0.45">
      <c r="A18" s="4"/>
      <c r="B18" s="24" t="s">
        <v>0</v>
      </c>
      <c r="C18" s="24" t="s">
        <v>1</v>
      </c>
      <c r="D18" s="5" t="s">
        <v>22</v>
      </c>
      <c r="E18" s="26" t="s">
        <v>23</v>
      </c>
    </row>
    <row r="19" spans="1:5" x14ac:dyDescent="0.45">
      <c r="A19" s="4">
        <v>1</v>
      </c>
      <c r="B19" s="24">
        <v>0.26400000000000001</v>
      </c>
      <c r="C19" s="24">
        <v>1.9E-3</v>
      </c>
      <c r="D19" s="5">
        <v>0.17599999999999999</v>
      </c>
      <c r="E19" s="26">
        <v>1.5E-3</v>
      </c>
    </row>
    <row r="20" spans="1:5" x14ac:dyDescent="0.45">
      <c r="A20" s="4">
        <v>2</v>
      </c>
      <c r="B20" s="24">
        <v>0.25700000000000001</v>
      </c>
      <c r="C20" s="24">
        <v>1.8E-3</v>
      </c>
      <c r="D20" s="5">
        <v>0.16</v>
      </c>
      <c r="E20" s="26">
        <v>3.0999999999999999E-3</v>
      </c>
    </row>
    <row r="21" spans="1:5" x14ac:dyDescent="0.45">
      <c r="A21" s="4">
        <v>3</v>
      </c>
      <c r="B21" s="24">
        <v>0.26</v>
      </c>
      <c r="C21" s="24">
        <v>3.2000000000000002E-3</v>
      </c>
      <c r="D21" s="5">
        <v>0.17499999999999999</v>
      </c>
      <c r="E21" s="26">
        <v>2.3E-3</v>
      </c>
    </row>
    <row r="22" spans="1:5" x14ac:dyDescent="0.45">
      <c r="A22" s="4" t="s">
        <v>2</v>
      </c>
      <c r="B22" s="24">
        <f>AVERAGE(B19:B21)</f>
        <v>0.26033333333333336</v>
      </c>
      <c r="C22" s="24">
        <f>AVERAGE(C19:C21)</f>
        <v>2.3E-3</v>
      </c>
      <c r="D22" s="5">
        <f>AVERAGE(D19:D21)</f>
        <v>0.17033333333333331</v>
      </c>
      <c r="E22" s="5">
        <f>AVERAGE(E19:E21)</f>
        <v>2.3E-3</v>
      </c>
    </row>
    <row r="23" spans="1:5" x14ac:dyDescent="0.45">
      <c r="A23" s="4" t="s">
        <v>3</v>
      </c>
      <c r="B23" s="24">
        <f>_xlfn.STDEV.S(B19:B21)</f>
        <v>3.5118845842842493E-3</v>
      </c>
      <c r="C23" s="24"/>
      <c r="D23" s="5">
        <f>_xlfn.STDEV.S(D19:D21)</f>
        <v>8.9628864398324931E-3</v>
      </c>
      <c r="E23" s="5"/>
    </row>
    <row r="24" spans="1:5" ht="14.65" thickBot="1" x14ac:dyDescent="0.5">
      <c r="A24" s="6" t="s">
        <v>7</v>
      </c>
      <c r="B24" s="7">
        <f>B23/SQRT(3)</f>
        <v>2.0275875100994084E-3</v>
      </c>
      <c r="C24" s="7"/>
      <c r="D24" s="8">
        <f>D23/SQRT(3)</f>
        <v>5.1747248987533368E-3</v>
      </c>
      <c r="E24" s="8"/>
    </row>
    <row r="29" spans="1:5" x14ac:dyDescent="0.45">
      <c r="C29" t="s">
        <v>24</v>
      </c>
    </row>
  </sheetData>
  <mergeCells count="3">
    <mergeCell ref="B1:C1"/>
    <mergeCell ref="B9:C9"/>
    <mergeCell ref="B17:C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Misura masse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2026-05-15T06:31:20Z</dcterms:modified>
</cp:coreProperties>
</file>