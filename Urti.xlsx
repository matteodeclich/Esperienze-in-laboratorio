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https://unimibit-my.sharepoint.com/personal/m_declich_campus_unimib_it/Documents/Documenti/Università/I° anno/Laboratorio I/Esperienze in laboratorio/"/>
    </mc:Choice>
  </mc:AlternateContent>
  <xr:revisionPtr revIDLastSave="505" documentId="8_{CDCF4D3F-7C6B-46D0-AEF3-502DEF423704}" xr6:coauthVersionLast="47" xr6:coauthVersionMax="47" xr10:uidLastSave="{9475BAD6-09AC-423E-AED7-92F72EA8A627}"/>
  <bookViews>
    <workbookView xWindow="-98" yWindow="-98" windowWidth="21795" windowHeight="12975" activeTab="3" xr2:uid="{907717A8-4905-415C-BF7B-CA392B2ABF8C}"/>
  </bookViews>
  <sheets>
    <sheet name="Misura masse" sheetId="1" r:id="rId1"/>
    <sheet name="Carrello" sheetId="4" r:id="rId2"/>
    <sheet name="Piano inclinato" sheetId="6" r:id="rId3"/>
    <sheet name="Urto magnete e molla" sheetId="3" r:id="rId4"/>
    <sheet name="Urti tra carrelli" sheetId="7" r:id="rId5"/>
    <sheet name="Foglio1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3" l="1"/>
  <c r="C2" i="3"/>
  <c r="F3" i="3"/>
  <c r="F2" i="3"/>
  <c r="D7" i="6"/>
  <c r="D8" i="6" s="1"/>
  <c r="B7" i="6"/>
  <c r="B8" i="6" s="1"/>
  <c r="E6" i="6"/>
  <c r="D6" i="6"/>
  <c r="C6" i="6"/>
  <c r="B6" i="6"/>
  <c r="D7" i="4"/>
  <c r="D8" i="4" s="1"/>
  <c r="E6" i="4"/>
  <c r="D6" i="4"/>
  <c r="B7" i="4"/>
  <c r="B8" i="4" s="1"/>
  <c r="C6" i="4"/>
  <c r="B6" i="4"/>
  <c r="F2" i="1"/>
  <c r="B3" i="2"/>
  <c r="B4" i="2"/>
  <c r="B5" i="2"/>
  <c r="B6" i="2"/>
  <c r="B2" i="2"/>
  <c r="A8" i="2"/>
  <c r="A7" i="2"/>
</calcChain>
</file>

<file path=xl/sharedStrings.xml><?xml version="1.0" encoding="utf-8"?>
<sst xmlns="http://schemas.openxmlformats.org/spreadsheetml/2006/main" count="46" uniqueCount="36">
  <si>
    <t>m</t>
  </si>
  <si>
    <t>sm</t>
  </si>
  <si>
    <t>Media</t>
  </si>
  <si>
    <t>Incertezza</t>
  </si>
  <si>
    <t>Angolo</t>
  </si>
  <si>
    <t>incertezza</t>
  </si>
  <si>
    <t>Coefficiente angolare</t>
  </si>
  <si>
    <t>Errore sulla media</t>
  </si>
  <si>
    <t>Carrello rosso</t>
  </si>
  <si>
    <t>Carrello blu</t>
  </si>
  <si>
    <t xml:space="preserve">Massa </t>
  </si>
  <si>
    <t>Massa con molla</t>
  </si>
  <si>
    <t>Massa con magnete</t>
  </si>
  <si>
    <t>Interpolazione carrello</t>
  </si>
  <si>
    <t>Interpolazione carrello+masse</t>
  </si>
  <si>
    <t>Errore sulla massa (kg)</t>
  </si>
  <si>
    <t>Interpolazione piano inclinato</t>
  </si>
  <si>
    <t>θ</t>
  </si>
  <si>
    <t>sθ</t>
  </si>
  <si>
    <t>m (kg)</t>
  </si>
  <si>
    <t>sm (kg)</t>
  </si>
  <si>
    <t>Carrello rosso (kg)</t>
  </si>
  <si>
    <t>Carrello blu  (kg)</t>
  </si>
  <si>
    <t>massa 1  (kg)</t>
  </si>
  <si>
    <t>massa 2  (kg)</t>
  </si>
  <si>
    <t>Massa totale  (kg)</t>
  </si>
  <si>
    <t>massa Libro 1  (kg)</t>
  </si>
  <si>
    <t>massa Libro 2  (kg)</t>
  </si>
  <si>
    <t>Area (N*s)</t>
  </si>
  <si>
    <t>Velocità iniziale (m/s)</t>
  </si>
  <si>
    <t>Velocità finale (m/s)</t>
  </si>
  <si>
    <t>Magnete</t>
  </si>
  <si>
    <t>Molla</t>
  </si>
  <si>
    <t>Impulso (N*s)</t>
  </si>
  <si>
    <t>Velcro</t>
  </si>
  <si>
    <t>Incertezza (N*s)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</si>
</sst>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3" borderId="2" xfId="0" applyFill="1" applyBorder="1"/>
    <xf numFmtId="0" fontId="0" fillId="4" borderId="2" xfId="0" applyFill="1" applyBorder="1"/>
    <xf numFmtId="0" fontId="0" fillId="0" borderId="2" xfId="0" applyBorder="1"/>
    <xf numFmtId="164" fontId="0" fillId="0" borderId="5" xfId="0" applyNumberFormat="1" applyBorder="1"/>
    <xf numFmtId="164" fontId="0" fillId="0" borderId="7" xfId="0" applyNumberFormat="1" applyBorder="1"/>
    <xf numFmtId="0" fontId="0" fillId="2" borderId="7" xfId="0" applyFill="1" applyBorder="1"/>
    <xf numFmtId="164" fontId="0" fillId="0" borderId="8" xfId="0" applyNumberFormat="1" applyBorder="1"/>
    <xf numFmtId="0" fontId="0" fillId="2" borderId="1" xfId="0" applyFill="1" applyBorder="1"/>
    <xf numFmtId="0" fontId="0" fillId="2" borderId="3" xfId="0" applyFill="1" applyBorder="1"/>
    <xf numFmtId="164" fontId="0" fillId="0" borderId="10" xfId="0" applyNumberFormat="1" applyBorder="1"/>
    <xf numFmtId="0" fontId="0" fillId="2" borderId="2" xfId="0" applyFill="1" applyBorder="1"/>
    <xf numFmtId="0" fontId="0" fillId="2" borderId="9" xfId="0" applyFill="1" applyBorder="1"/>
    <xf numFmtId="0" fontId="0" fillId="5" borderId="4" xfId="0" applyFill="1" applyBorder="1"/>
    <xf numFmtId="0" fontId="0" fillId="5" borderId="6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6" borderId="4" xfId="0" applyFill="1" applyBorder="1"/>
    <xf numFmtId="0" fontId="0" fillId="6" borderId="5" xfId="0" applyFill="1" applyBorder="1"/>
    <xf numFmtId="0" fontId="0" fillId="6" borderId="0" xfId="0" applyFill="1" applyBorder="1"/>
    <xf numFmtId="0" fontId="0" fillId="0" borderId="0" xfId="0" applyAlignment="1"/>
    <xf numFmtId="0" fontId="0" fillId="6" borderId="0" xfId="0" applyFill="1" applyAlignment="1"/>
    <xf numFmtId="0" fontId="0" fillId="6" borderId="0" xfId="0" applyFill="1"/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6" xfId="0" applyBorder="1" applyAlignment="1">
      <alignment horizontal="center" vertical="center"/>
    </xf>
    <xf numFmtId="0" fontId="0" fillId="0" borderId="7" xfId="0" applyBorder="1" applyAlignment="1"/>
    <xf numFmtId="0" fontId="0" fillId="0" borderId="4" xfId="0" applyBorder="1" applyAlignment="1">
      <alignment horizontal="center" vertical="center"/>
    </xf>
    <xf numFmtId="0" fontId="0" fillId="0" borderId="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FD8431-7FB4-41B1-A3FF-050068B0069C}">
  <we:reference id="wa200005069" version="1.0.0.4" store="it-IT" storeType="OMEX"/>
  <we:alternateReferences>
    <we:reference id="WA200005069" version="1.0.0.4" store="WA2000050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A3A3-F67C-4C40-8B41-F8F1ABC9D4F7}">
  <sheetPr codeName="Foglio1"/>
  <dimension ref="A1:Q16"/>
  <sheetViews>
    <sheetView workbookViewId="0">
      <selection activeCell="C4" sqref="C4"/>
    </sheetView>
  </sheetViews>
  <sheetFormatPr defaultRowHeight="14.25" x14ac:dyDescent="0.45"/>
  <cols>
    <col min="1" max="1" width="15.19921875" customWidth="1"/>
    <col min="2" max="2" width="14.9296875" bestFit="1" customWidth="1"/>
    <col min="3" max="3" width="13.3984375" bestFit="1" customWidth="1"/>
    <col min="4" max="5" width="10.796875" bestFit="1" customWidth="1"/>
    <col min="6" max="6" width="14.265625" bestFit="1" customWidth="1"/>
    <col min="7" max="8" width="15.1328125" bestFit="1" customWidth="1"/>
    <col min="9" max="9" width="18.3984375" bestFit="1" customWidth="1"/>
    <col min="10" max="10" width="11.46484375" bestFit="1" customWidth="1"/>
    <col min="11" max="12" width="18.3984375" bestFit="1" customWidth="1"/>
    <col min="13" max="13" width="13.1328125" bestFit="1" customWidth="1"/>
    <col min="14" max="14" width="9.265625" bestFit="1" customWidth="1"/>
  </cols>
  <sheetData>
    <row r="1" spans="1:17" x14ac:dyDescent="0.45">
      <c r="A1" s="10"/>
      <c r="B1" s="8" t="s">
        <v>21</v>
      </c>
      <c r="C1" s="9" t="s">
        <v>22</v>
      </c>
      <c r="D1" s="18" t="s">
        <v>23</v>
      </c>
      <c r="E1" s="18" t="s">
        <v>24</v>
      </c>
      <c r="F1" s="1" t="s">
        <v>25</v>
      </c>
      <c r="G1" s="18" t="s">
        <v>26</v>
      </c>
      <c r="H1" s="16" t="s">
        <v>27</v>
      </c>
      <c r="I1" s="19" t="s">
        <v>15</v>
      </c>
    </row>
    <row r="2" spans="1:17" ht="14.65" thickBot="1" x14ac:dyDescent="0.5">
      <c r="A2" s="1" t="s">
        <v>10</v>
      </c>
      <c r="C2" s="2">
        <v>0.25452000000000002</v>
      </c>
      <c r="D2" s="2">
        <v>0.25314999999999999</v>
      </c>
      <c r="E2" s="2">
        <v>0.25374999999999998</v>
      </c>
      <c r="F2" s="2">
        <f>SUM(C2:E2)</f>
        <v>0.76141999999999999</v>
      </c>
      <c r="G2" s="2">
        <v>0.29006999999999999</v>
      </c>
      <c r="H2" s="11">
        <v>0.18593999999999999</v>
      </c>
      <c r="I2" s="17">
        <v>5.0000000000000001E-4</v>
      </c>
    </row>
    <row r="3" spans="1:17" x14ac:dyDescent="0.45">
      <c r="A3" s="1" t="s">
        <v>12</v>
      </c>
      <c r="B3" s="2">
        <v>0.25634000000000001</v>
      </c>
      <c r="C3" s="2">
        <v>0.27538000000000001</v>
      </c>
      <c r="H3" s="5"/>
    </row>
    <row r="4" spans="1:17" ht="14.65" thickBot="1" x14ac:dyDescent="0.5">
      <c r="A4" s="13" t="s">
        <v>11</v>
      </c>
      <c r="B4" s="6"/>
      <c r="C4" s="12">
        <v>0.25686999999999999</v>
      </c>
      <c r="D4" s="6"/>
      <c r="E4" s="6"/>
      <c r="F4" s="6"/>
      <c r="G4" s="6"/>
      <c r="H4" s="7"/>
    </row>
    <row r="15" spans="1:17" x14ac:dyDescent="0.45">
      <c r="O15" s="2"/>
    </row>
    <row r="16" spans="1:17" x14ac:dyDescent="0.45">
      <c r="O16" s="2"/>
      <c r="P16" s="2"/>
      <c r="Q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20B8-4704-416F-978B-B5A7A6B8003E}">
  <sheetPr codeName="Foglio2"/>
  <dimension ref="A1:E8"/>
  <sheetViews>
    <sheetView workbookViewId="0">
      <selection activeCell="B2" sqref="B2:E2"/>
    </sheetView>
  </sheetViews>
  <sheetFormatPr defaultRowHeight="14.25" x14ac:dyDescent="0.45"/>
  <cols>
    <col min="4" max="4" width="11.73046875" bestFit="1" customWidth="1"/>
    <col min="5" max="5" width="13.46484375" customWidth="1"/>
  </cols>
  <sheetData>
    <row r="1" spans="1:5" x14ac:dyDescent="0.45">
      <c r="A1" s="3"/>
      <c r="B1" s="26" t="s">
        <v>13</v>
      </c>
      <c r="C1" s="23"/>
      <c r="D1" s="22" t="s">
        <v>14</v>
      </c>
      <c r="E1" s="23"/>
    </row>
    <row r="2" spans="1:5" ht="14.65" thickBot="1" x14ac:dyDescent="0.5">
      <c r="A2" s="4"/>
      <c r="B2" s="28" t="s">
        <v>19</v>
      </c>
      <c r="C2" s="29" t="s">
        <v>20</v>
      </c>
      <c r="D2" s="30" t="s">
        <v>19</v>
      </c>
      <c r="E2" s="29" t="s">
        <v>20</v>
      </c>
    </row>
    <row r="3" spans="1:5" x14ac:dyDescent="0.45">
      <c r="A3" s="3">
        <v>1</v>
      </c>
      <c r="B3" s="4">
        <v>0.249</v>
      </c>
      <c r="C3" s="5">
        <v>0.04</v>
      </c>
      <c r="D3" s="24">
        <v>0.76900000000000002</v>
      </c>
      <c r="E3" s="5">
        <v>4.2999999999999997E-2</v>
      </c>
    </row>
    <row r="4" spans="1:5" x14ac:dyDescent="0.45">
      <c r="A4" s="4">
        <v>2</v>
      </c>
      <c r="B4" s="4">
        <v>0.253</v>
      </c>
      <c r="C4" s="5">
        <v>4.2999999999999997E-2</v>
      </c>
      <c r="D4" s="24">
        <v>0.755</v>
      </c>
      <c r="E4" s="5">
        <v>3.7999999999999999E-2</v>
      </c>
    </row>
    <row r="5" spans="1:5" ht="14.65" thickBot="1" x14ac:dyDescent="0.5">
      <c r="A5" s="25">
        <v>3</v>
      </c>
      <c r="B5" s="4">
        <v>0.247</v>
      </c>
      <c r="C5" s="5">
        <v>4.2000000000000003E-2</v>
      </c>
      <c r="D5" s="24">
        <v>0.749</v>
      </c>
      <c r="E5" s="5">
        <v>3.7999999999999999E-2</v>
      </c>
    </row>
    <row r="6" spans="1:5" x14ac:dyDescent="0.45">
      <c r="A6" s="20" t="s">
        <v>2</v>
      </c>
      <c r="B6" s="4">
        <f>AVERAGE(B3:B5)</f>
        <v>0.24966666666666668</v>
      </c>
      <c r="C6" s="5">
        <f>SQRT(C3^2+C4^2+C5^2)/3</f>
        <v>2.4067036008246265E-2</v>
      </c>
      <c r="D6" s="24">
        <f>AVERAGE(D3:D5)</f>
        <v>0.75766666666666671</v>
      </c>
      <c r="E6" s="5">
        <f>SQRT(E3^2+E4^2+E5^2)/3</f>
        <v>2.2941955743426352E-2</v>
      </c>
    </row>
    <row r="7" spans="1:5" x14ac:dyDescent="0.45">
      <c r="A7" s="20" t="s">
        <v>3</v>
      </c>
      <c r="B7" s="4">
        <f>_xlfn.STDEV.S(B3:B5)</f>
        <v>3.0550504633038958E-3</v>
      </c>
      <c r="C7" s="5"/>
      <c r="D7" s="24">
        <f>_xlfn.STDEV.S(D3:D5)</f>
        <v>1.0263202878893778E-2</v>
      </c>
      <c r="E7" s="5"/>
    </row>
    <row r="8" spans="1:5" ht="14.65" thickBot="1" x14ac:dyDescent="0.5">
      <c r="A8" s="21" t="s">
        <v>7</v>
      </c>
      <c r="B8" s="25">
        <f>B7/SQRT(3)</f>
        <v>1.7638342073763953E-3</v>
      </c>
      <c r="C8" s="7"/>
      <c r="D8" s="6">
        <f>D7/SQRT(3)</f>
        <v>5.9254629448770649E-3</v>
      </c>
      <c r="E8" s="7"/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11AF-387E-46AF-B6A9-D2FF56ED2C76}">
  <sheetPr codeName="Foglio3"/>
  <dimension ref="A1:G8"/>
  <sheetViews>
    <sheetView workbookViewId="0">
      <selection activeCell="L16" sqref="L16"/>
    </sheetView>
  </sheetViews>
  <sheetFormatPr defaultRowHeight="14.25" x14ac:dyDescent="0.45"/>
  <sheetData>
    <row r="1" spans="1:7" ht="14.65" thickBot="1" x14ac:dyDescent="0.5">
      <c r="A1" s="3"/>
      <c r="B1" s="26" t="s">
        <v>16</v>
      </c>
      <c r="C1" s="22"/>
      <c r="D1" s="22"/>
      <c r="E1" s="23"/>
      <c r="F1" s="15" t="s">
        <v>4</v>
      </c>
      <c r="G1" s="16" t="s">
        <v>5</v>
      </c>
    </row>
    <row r="2" spans="1:7" ht="14.65" thickBot="1" x14ac:dyDescent="0.5">
      <c r="A2" s="4"/>
      <c r="B2" s="3" t="s">
        <v>0</v>
      </c>
      <c r="C2" s="10" t="s">
        <v>1</v>
      </c>
      <c r="D2" s="10" t="s">
        <v>17</v>
      </c>
      <c r="E2" s="27" t="s">
        <v>18</v>
      </c>
      <c r="F2" s="12">
        <v>10</v>
      </c>
      <c r="G2" s="14">
        <v>1</v>
      </c>
    </row>
    <row r="3" spans="1:7" x14ac:dyDescent="0.45">
      <c r="A3" s="4">
        <v>1</v>
      </c>
      <c r="B3" s="4">
        <v>0.26400000000000001</v>
      </c>
      <c r="C3" s="24">
        <v>1.9E-3</v>
      </c>
      <c r="D3" s="24">
        <v>0.17599999999999999</v>
      </c>
      <c r="E3" s="5">
        <v>1.5E-3</v>
      </c>
    </row>
    <row r="4" spans="1:7" x14ac:dyDescent="0.45">
      <c r="A4" s="4">
        <v>2</v>
      </c>
      <c r="B4" s="4">
        <v>0.25700000000000001</v>
      </c>
      <c r="C4" s="24">
        <v>1.8E-3</v>
      </c>
      <c r="D4" s="24">
        <v>0.16</v>
      </c>
      <c r="E4" s="5">
        <v>3.0999999999999999E-3</v>
      </c>
    </row>
    <row r="5" spans="1:7" x14ac:dyDescent="0.45">
      <c r="A5" s="4">
        <v>3</v>
      </c>
      <c r="B5" s="4">
        <v>0.26</v>
      </c>
      <c r="C5" s="24">
        <v>3.2000000000000002E-3</v>
      </c>
      <c r="D5" s="24">
        <v>0.17499999999999999</v>
      </c>
      <c r="E5" s="5">
        <v>2.3E-3</v>
      </c>
    </row>
    <row r="6" spans="1:7" x14ac:dyDescent="0.45">
      <c r="A6" s="20" t="s">
        <v>2</v>
      </c>
      <c r="B6" s="4">
        <f>AVERAGE(B3:B5)</f>
        <v>0.26033333333333336</v>
      </c>
      <c r="C6" s="24">
        <f>SQRT(C3^2+C4^2+C5^2)/3</f>
        <v>1.3780017739062926E-3</v>
      </c>
      <c r="D6" s="24">
        <f>AVERAGE(D3:D5)</f>
        <v>0.17033333333333331</v>
      </c>
      <c r="E6" s="5">
        <f>AVERAGE(E3:E5)</f>
        <v>2.3E-3</v>
      </c>
    </row>
    <row r="7" spans="1:7" x14ac:dyDescent="0.45">
      <c r="A7" s="20" t="s">
        <v>3</v>
      </c>
      <c r="B7" s="4">
        <f>_xlfn.STDEV.S(B3:B5)</f>
        <v>3.5118845842842493E-3</v>
      </c>
      <c r="C7" s="24"/>
      <c r="D7" s="24">
        <f>_xlfn.STDEV.S(D3:D5)</f>
        <v>8.9628864398324931E-3</v>
      </c>
      <c r="E7" s="5"/>
    </row>
    <row r="8" spans="1:7" ht="14.65" thickBot="1" x14ac:dyDescent="0.5">
      <c r="A8" s="21" t="s">
        <v>7</v>
      </c>
      <c r="B8" s="25">
        <f>B7/SQRT(3)</f>
        <v>2.0275875100994084E-3</v>
      </c>
      <c r="C8" s="6"/>
      <c r="D8" s="6">
        <f>D7/SQRT(3)</f>
        <v>5.1747248987533368E-3</v>
      </c>
      <c r="E8" s="7"/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650D-6BE1-4288-A9ED-8CD51BE871FF}">
  <sheetPr codeName="Foglio4"/>
  <dimension ref="A1:F3"/>
  <sheetViews>
    <sheetView tabSelected="1" workbookViewId="0">
      <selection sqref="A1:F3"/>
    </sheetView>
  </sheetViews>
  <sheetFormatPr defaultRowHeight="14.25" x14ac:dyDescent="0.45"/>
  <cols>
    <col min="1" max="1" width="7.3984375" bestFit="1" customWidth="1"/>
    <col min="2" max="2" width="8.796875" bestFit="1" customWidth="1"/>
    <col min="3" max="3" width="13.3984375" bestFit="1" customWidth="1"/>
    <col min="4" max="4" width="17.59765625" bestFit="1" customWidth="1"/>
    <col min="5" max="5" width="16.33203125" bestFit="1" customWidth="1"/>
    <col min="6" max="7" width="11.6640625" bestFit="1" customWidth="1"/>
  </cols>
  <sheetData>
    <row r="1" spans="1:6" x14ac:dyDescent="0.45">
      <c r="B1" s="32" t="s">
        <v>28</v>
      </c>
      <c r="C1" s="32" t="s">
        <v>35</v>
      </c>
      <c r="D1" s="32" t="s">
        <v>29</v>
      </c>
      <c r="E1" s="33" t="s">
        <v>30</v>
      </c>
      <c r="F1" s="33" t="s">
        <v>33</v>
      </c>
    </row>
    <row r="2" spans="1:6" x14ac:dyDescent="0.45">
      <c r="A2" s="33" t="s">
        <v>31</v>
      </c>
      <c r="B2">
        <v>-0.26</v>
      </c>
      <c r="C2">
        <f>0.05/SQRT(3)</f>
        <v>2.8867513459481291E-2</v>
      </c>
      <c r="D2">
        <v>0.56000000000000005</v>
      </c>
      <c r="E2">
        <v>-0.54</v>
      </c>
      <c r="F2" s="2">
        <f>0.27538*(E2-D2)</f>
        <v>-0.30291800000000002</v>
      </c>
    </row>
    <row r="3" spans="1:6" x14ac:dyDescent="0.45">
      <c r="A3" s="33" t="s">
        <v>32</v>
      </c>
      <c r="B3">
        <v>-0.28999999999999998</v>
      </c>
      <c r="C3">
        <f>0.07/SQRT(3)</f>
        <v>4.0414518843273808E-2</v>
      </c>
      <c r="D3">
        <v>0.64</v>
      </c>
      <c r="E3">
        <v>-0.62</v>
      </c>
      <c r="F3" s="2">
        <f>0.25687*(E3-D3)</f>
        <v>-0.32365620000000001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6164-6404-4192-AA86-8FC9D80B21B0}">
  <dimension ref="A1:E7"/>
  <sheetViews>
    <sheetView workbookViewId="0">
      <selection activeCell="D18" sqref="D18"/>
    </sheetView>
  </sheetViews>
  <sheetFormatPr defaultRowHeight="14.25" x14ac:dyDescent="0.45"/>
  <cols>
    <col min="1" max="1" width="9.06640625" style="31"/>
    <col min="2" max="2" width="17.59765625" style="31" bestFit="1" customWidth="1"/>
    <col min="3" max="3" width="16.33203125" style="31" bestFit="1" customWidth="1"/>
    <col min="4" max="4" width="17.59765625" style="31" bestFit="1" customWidth="1"/>
    <col min="5" max="5" width="16.33203125" style="31" bestFit="1" customWidth="1"/>
    <col min="6" max="16384" width="9.06640625" style="31"/>
  </cols>
  <sheetData>
    <row r="1" spans="1:5" ht="14.65" thickBot="1" x14ac:dyDescent="0.5">
      <c r="B1" s="35" t="s">
        <v>8</v>
      </c>
      <c r="C1" s="36"/>
      <c r="D1" s="34" t="s">
        <v>9</v>
      </c>
      <c r="E1" s="34"/>
    </row>
    <row r="2" spans="1:5" ht="14.65" thickBot="1" x14ac:dyDescent="0.5">
      <c r="B2" s="49" t="s">
        <v>29</v>
      </c>
      <c r="C2" s="50" t="s">
        <v>30</v>
      </c>
      <c r="D2" s="51" t="s">
        <v>29</v>
      </c>
      <c r="E2" s="50" t="s">
        <v>30</v>
      </c>
    </row>
    <row r="3" spans="1:5" x14ac:dyDescent="0.45">
      <c r="A3" s="41" t="s">
        <v>31</v>
      </c>
      <c r="B3" s="42"/>
      <c r="C3" s="43"/>
      <c r="D3" s="44"/>
      <c r="E3" s="43"/>
    </row>
    <row r="4" spans="1:5" ht="14.65" thickBot="1" x14ac:dyDescent="0.5">
      <c r="A4" s="45"/>
      <c r="B4" s="39"/>
      <c r="C4" s="40"/>
      <c r="D4" s="46"/>
      <c r="E4" s="40"/>
    </row>
    <row r="5" spans="1:5" x14ac:dyDescent="0.45">
      <c r="A5" s="41" t="s">
        <v>34</v>
      </c>
      <c r="B5" s="42"/>
      <c r="C5" s="43"/>
      <c r="D5" s="44"/>
      <c r="E5" s="43"/>
    </row>
    <row r="6" spans="1:5" x14ac:dyDescent="0.45">
      <c r="A6" s="47"/>
      <c r="B6" s="37"/>
      <c r="C6" s="38"/>
      <c r="D6" s="48"/>
      <c r="E6" s="38"/>
    </row>
    <row r="7" spans="1:5" ht="14.65" thickBot="1" x14ac:dyDescent="0.5">
      <c r="A7" s="45"/>
      <c r="B7" s="39"/>
      <c r="C7" s="40"/>
      <c r="D7" s="46"/>
      <c r="E7" s="40"/>
    </row>
  </sheetData>
  <mergeCells count="4">
    <mergeCell ref="B1:C1"/>
    <mergeCell ref="D1:E1"/>
    <mergeCell ref="A5:A7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9449-1CDD-4EB3-AB4D-96086F39488A}">
  <sheetPr codeName="Foglio5"/>
  <dimension ref="A1:B8"/>
  <sheetViews>
    <sheetView workbookViewId="0">
      <selection activeCell="G20" sqref="G20"/>
    </sheetView>
  </sheetViews>
  <sheetFormatPr defaultRowHeight="14.25" x14ac:dyDescent="0.45"/>
  <cols>
    <col min="1" max="1" width="18.46484375" customWidth="1"/>
  </cols>
  <sheetData>
    <row r="1" spans="1:2" x14ac:dyDescent="0.45">
      <c r="A1" t="s">
        <v>6</v>
      </c>
    </row>
    <row r="2" spans="1:2" x14ac:dyDescent="0.45">
      <c r="A2">
        <v>1.478</v>
      </c>
      <c r="B2">
        <f>(9.81*SIN(0.1745)-A2)/(9.81*COS(0.1745))</f>
        <v>2.3307117630363073E-2</v>
      </c>
    </row>
    <row r="3" spans="1:2" x14ac:dyDescent="0.45">
      <c r="A3">
        <v>1.5192000000000001</v>
      </c>
      <c r="B3">
        <f t="shared" ref="B3:B6" si="0">(9.81*SIN(0.1745)-A3)/(9.81*COS(0.1745))</f>
        <v>1.904255763514243E-2</v>
      </c>
    </row>
    <row r="4" spans="1:2" x14ac:dyDescent="0.45">
      <c r="A4">
        <v>1.5113000000000001</v>
      </c>
      <c r="B4">
        <f t="shared" si="0"/>
        <v>1.9860276663352213E-2</v>
      </c>
    </row>
    <row r="5" spans="1:2" x14ac:dyDescent="0.45">
      <c r="A5">
        <v>1.5176000000000001</v>
      </c>
      <c r="B5">
        <f t="shared" si="0"/>
        <v>1.9208171615539352E-2</v>
      </c>
    </row>
    <row r="6" spans="1:2" x14ac:dyDescent="0.45">
      <c r="A6">
        <v>1.5246999999999999</v>
      </c>
      <c r="B6">
        <f t="shared" si="0"/>
        <v>1.8473259577528042E-2</v>
      </c>
    </row>
    <row r="7" spans="1:2" x14ac:dyDescent="0.45">
      <c r="A7" s="1">
        <f>AVERAGE(A2:A6)</f>
        <v>1.5101600000000002</v>
      </c>
    </row>
    <row r="8" spans="1:2" x14ac:dyDescent="0.45">
      <c r="A8">
        <f>_xlfn.STDEV.S(A2:A6)</f>
        <v>1.860142467662089E-2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Misura masse</vt:lpstr>
      <vt:lpstr>Carrello</vt:lpstr>
      <vt:lpstr>Piano inclinato</vt:lpstr>
      <vt:lpstr>Urto magnete e molla</vt:lpstr>
      <vt:lpstr>Urti tra carrelli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lastModifiedBy>m.declich@campus.unimib.it</cp:lastModifiedBy>
  <dcterms:created xsi:type="dcterms:W3CDTF">2026-04-21T08:47:18Z</dcterms:created>
  <dcterms:modified xsi:type="dcterms:W3CDTF">2026-05-21T19:48:31Z</dcterms:modified>
</cp:coreProperties>
</file>