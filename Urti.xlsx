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Questa_cartella_di_lavoro" defaultThemeVersion="202300"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690" documentId="8_{CDCF4D3F-7C6B-46D0-AEF3-502DEF423704}" xr6:coauthVersionLast="47" xr6:coauthVersionMax="47" xr10:uidLastSave="{4A5B6165-A8E8-483F-A065-99ED5946109D}"/>
  <bookViews>
    <workbookView xWindow="-98" yWindow="-98" windowWidth="21795" windowHeight="12975" firstSheet="1" activeTab="5" xr2:uid="{907717A8-4905-415C-BF7B-CA392B2ABF8C}"/>
  </bookViews>
  <sheets>
    <sheet name="Misura masse" sheetId="1" r:id="rId1"/>
    <sheet name="Carrello" sheetId="4" r:id="rId2"/>
    <sheet name="Piano inclinato" sheetId="6" r:id="rId3"/>
    <sheet name="Urto magnete e molla" sheetId="3" r:id="rId4"/>
    <sheet name="Urti tra carrelli" sheetId="7" r:id="rId5"/>
    <sheet name="Attrito statico" sheetId="8" r:id="rId6"/>
    <sheet name="Attrito dinamico" sheetId="2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8" l="1"/>
  <c r="K7" i="7"/>
  <c r="K4" i="7"/>
  <c r="K5" i="7"/>
  <c r="K6" i="7"/>
  <c r="K8" i="7"/>
  <c r="K3" i="7"/>
  <c r="J4" i="7"/>
  <c r="J5" i="7"/>
  <c r="J6" i="7"/>
  <c r="J7" i="7"/>
  <c r="J8" i="7"/>
  <c r="J3" i="7"/>
  <c r="I6" i="7"/>
  <c r="I7" i="7"/>
  <c r="I8" i="7"/>
  <c r="H6" i="7"/>
  <c r="H7" i="7"/>
  <c r="H8" i="7"/>
  <c r="I5" i="7"/>
  <c r="I4" i="7"/>
  <c r="H5" i="7"/>
  <c r="H4" i="7"/>
  <c r="I3" i="7"/>
  <c r="H3" i="7"/>
  <c r="F4" i="1"/>
  <c r="F3" i="1"/>
  <c r="F2" i="1"/>
  <c r="I3" i="3"/>
  <c r="I2" i="3"/>
  <c r="H3" i="3"/>
  <c r="H2" i="3"/>
  <c r="D3" i="3"/>
  <c r="D2" i="3"/>
  <c r="G3" i="3"/>
  <c r="G2" i="3"/>
  <c r="D7" i="6"/>
  <c r="D8" i="6" s="1"/>
  <c r="B7" i="6"/>
  <c r="B8" i="6" s="1"/>
  <c r="E6" i="6"/>
  <c r="D6" i="6"/>
  <c r="C6" i="6"/>
  <c r="B6" i="6"/>
  <c r="D7" i="4"/>
  <c r="D8" i="4" s="1"/>
  <c r="E6" i="4"/>
  <c r="D6" i="4"/>
  <c r="B7" i="4"/>
  <c r="B8" i="4" s="1"/>
  <c r="C6" i="4"/>
  <c r="B6" i="4"/>
  <c r="B3" i="2"/>
  <c r="B4" i="2"/>
  <c r="B5" i="2"/>
  <c r="B6" i="2"/>
  <c r="B2" i="2"/>
  <c r="A8" i="2"/>
  <c r="A7" i="2"/>
</calcChain>
</file>

<file path=xl/sharedStrings.xml><?xml version="1.0" encoding="utf-8"?>
<sst xmlns="http://schemas.openxmlformats.org/spreadsheetml/2006/main" count="61" uniqueCount="46">
  <si>
    <t>m</t>
  </si>
  <si>
    <t>sm</t>
  </si>
  <si>
    <t>Media</t>
  </si>
  <si>
    <t>Incertezza</t>
  </si>
  <si>
    <t>Angolo</t>
  </si>
  <si>
    <t>incertezza</t>
  </si>
  <si>
    <t>Coefficiente angolare</t>
  </si>
  <si>
    <t>Errore sulla media</t>
  </si>
  <si>
    <t>Carrello rosso</t>
  </si>
  <si>
    <t>Carrello blu</t>
  </si>
  <si>
    <t xml:space="preserve">Massa </t>
  </si>
  <si>
    <t>Massa con molla</t>
  </si>
  <si>
    <t>Massa con magnete</t>
  </si>
  <si>
    <t>Interpolazione carrello</t>
  </si>
  <si>
    <t>Interpolazione carrello+masse</t>
  </si>
  <si>
    <t>Errore sulla massa (kg)</t>
  </si>
  <si>
    <t>Interpolazione piano inclinato</t>
  </si>
  <si>
    <t>θ</t>
  </si>
  <si>
    <t>sθ</t>
  </si>
  <si>
    <t>m (kg)</t>
  </si>
  <si>
    <t>sm (kg)</t>
  </si>
  <si>
    <t>Carrello rosso (kg)</t>
  </si>
  <si>
    <t>Carrello blu  (kg)</t>
  </si>
  <si>
    <t>massa 1  (kg)</t>
  </si>
  <si>
    <t>massa 2  (kg)</t>
  </si>
  <si>
    <t>Massa totale  (kg)</t>
  </si>
  <si>
    <t>massa Libro 1  (kg)</t>
  </si>
  <si>
    <t>massa Libro 2  (kg)</t>
  </si>
  <si>
    <t>Area (N*s)</t>
  </si>
  <si>
    <t>Velocità iniziale (m/s)</t>
  </si>
  <si>
    <t>Velocità finale (m/s)</t>
  </si>
  <si>
    <t>Magnete</t>
  </si>
  <si>
    <t>Molla</t>
  </si>
  <si>
    <t>Impulso (N*s)</t>
  </si>
  <si>
    <t>Velcro</t>
  </si>
  <si>
    <t>Incertezza (N*s)</t>
  </si>
  <si>
    <t>ΔE (J)</t>
  </si>
  <si>
    <t>Massa (kg)</t>
  </si>
  <si>
    <t>Coeff. di restituzione</t>
  </si>
  <si>
    <t>Quantità di moto iniziale (kg*m/s)</t>
  </si>
  <si>
    <t>Quantità di moto finale (kg*m/s)</t>
  </si>
  <si>
    <t>Energia inizale (J)</t>
  </si>
  <si>
    <t>Energia finale (J)</t>
  </si>
  <si>
    <t>1 libro</t>
  </si>
  <si>
    <t>2 libri</t>
  </si>
  <si>
    <t>F 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</si>
</sst>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2" borderId="0" xfId="0" applyFill="1"/>
    <xf numFmtId="164" fontId="0" fillId="0" borderId="0" xfId="0" applyNumberFormat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3" borderId="2" xfId="0" applyFill="1" applyBorder="1"/>
    <xf numFmtId="0" fontId="0" fillId="4" borderId="2" xfId="0" applyFill="1" applyBorder="1"/>
    <xf numFmtId="0" fontId="0" fillId="0" borderId="2" xfId="0" applyBorder="1"/>
    <xf numFmtId="164" fontId="0" fillId="0" borderId="5" xfId="0" applyNumberFormat="1" applyBorder="1"/>
    <xf numFmtId="164" fontId="0" fillId="0" borderId="7" xfId="0" applyNumberFormat="1" applyBorder="1"/>
    <xf numFmtId="0" fontId="0" fillId="2" borderId="7" xfId="0" applyFill="1" applyBorder="1"/>
    <xf numFmtId="164" fontId="0" fillId="0" borderId="8" xfId="0" applyNumberFormat="1" applyBorder="1"/>
    <xf numFmtId="0" fontId="0" fillId="2" borderId="1" xfId="0" applyFill="1" applyBorder="1"/>
    <xf numFmtId="0" fontId="0" fillId="2" borderId="3" xfId="0" applyFill="1" applyBorder="1"/>
    <xf numFmtId="164" fontId="0" fillId="0" borderId="10" xfId="0" applyNumberFormat="1" applyBorder="1"/>
    <xf numFmtId="0" fontId="0" fillId="2" borderId="2" xfId="0" applyFill="1" applyBorder="1"/>
    <xf numFmtId="0" fontId="0" fillId="2" borderId="9" xfId="0" applyFill="1" applyBorder="1"/>
    <xf numFmtId="0" fontId="0" fillId="5" borderId="4" xfId="0" applyFill="1" applyBorder="1"/>
    <xf numFmtId="0" fontId="0" fillId="5" borderId="6" xfId="0" applyFill="1" applyBorder="1"/>
    <xf numFmtId="0" fontId="0" fillId="0" borderId="6" xfId="0" applyBorder="1"/>
    <xf numFmtId="0" fontId="0" fillId="0" borderId="3" xfId="0" applyBorder="1"/>
    <xf numFmtId="0" fontId="0" fillId="6" borderId="4" xfId="0" applyFill="1" applyBorder="1"/>
    <xf numFmtId="0" fontId="0" fillId="6" borderId="5" xfId="0" applyFill="1" applyBorder="1"/>
    <xf numFmtId="0" fontId="0" fillId="6" borderId="0" xfId="0" applyFill="1"/>
    <xf numFmtId="0" fontId="0" fillId="7" borderId="1" xfId="0" applyFill="1" applyBorder="1"/>
    <xf numFmtId="0" fontId="0" fillId="7" borderId="2" xfId="0" applyFill="1" applyBorder="1"/>
    <xf numFmtId="0" fontId="0" fillId="7" borderId="3" xfId="0" applyFill="1" applyBorder="1"/>
    <xf numFmtId="164" fontId="0" fillId="0" borderId="1" xfId="0" applyNumberFormat="1" applyBorder="1"/>
    <xf numFmtId="164" fontId="0" fillId="0" borderId="2" xfId="0" applyNumberFormat="1" applyBorder="1"/>
    <xf numFmtId="164" fontId="0" fillId="0" borderId="6" xfId="0" applyNumberFormat="1" applyBorder="1"/>
    <xf numFmtId="0" fontId="0" fillId="0" borderId="0" xfId="0" applyAlignment="1">
      <alignment vertical="center"/>
    </xf>
    <xf numFmtId="0" fontId="0" fillId="6" borderId="7" xfId="0" applyFill="1" applyBorder="1"/>
    <xf numFmtId="164" fontId="0" fillId="0" borderId="4" xfId="0" applyNumberFormat="1" applyBorder="1"/>
    <xf numFmtId="165" fontId="0" fillId="0" borderId="0" xfId="0" applyNumberFormat="1"/>
    <xf numFmtId="0" fontId="0" fillId="4" borderId="0" xfId="0" applyFill="1" applyAlignment="1">
      <alignment horizontal="center"/>
    </xf>
    <xf numFmtId="0" fontId="0" fillId="6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 applyBorder="1"/>
    <xf numFmtId="0" fontId="0" fillId="6" borderId="1" xfId="0" applyFill="1" applyBorder="1"/>
    <xf numFmtId="0" fontId="0" fillId="6" borderId="3" xfId="0" applyFill="1" applyBorder="1"/>
    <xf numFmtId="0" fontId="0" fillId="6" border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FFD8431-7FB4-41B1-A3FF-050068B0069C}">
  <we:reference id="wa200005069" version="1.0.0.4" store="it-IT" storeType="OMEX"/>
  <we:alternateReferences>
    <we:reference id="WA200005069" version="1.0.0.4" store="WA200005069" storeType="OMEX"/>
  </we:alternateReferences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DA3A3-F67C-4C40-8B41-F8F1ABC9D4F7}">
  <sheetPr codeName="Foglio1"/>
  <dimension ref="A1:Q16"/>
  <sheetViews>
    <sheetView workbookViewId="0">
      <selection activeCell="G2" sqref="G2"/>
    </sheetView>
  </sheetViews>
  <sheetFormatPr defaultRowHeight="14.25" x14ac:dyDescent="0.45"/>
  <cols>
    <col min="1" max="1" width="15.19921875" customWidth="1"/>
    <col min="2" max="2" width="14.9296875" bestFit="1" customWidth="1"/>
    <col min="3" max="3" width="13.3984375" bestFit="1" customWidth="1"/>
    <col min="4" max="5" width="10.796875" bestFit="1" customWidth="1"/>
    <col min="6" max="6" width="14.265625" bestFit="1" customWidth="1"/>
    <col min="7" max="8" width="15.1328125" bestFit="1" customWidth="1"/>
    <col min="9" max="9" width="18.3984375" bestFit="1" customWidth="1"/>
    <col min="10" max="10" width="11.46484375" bestFit="1" customWidth="1"/>
    <col min="11" max="12" width="18.3984375" bestFit="1" customWidth="1"/>
    <col min="13" max="13" width="13.1328125" bestFit="1" customWidth="1"/>
    <col min="14" max="14" width="9.265625" bestFit="1" customWidth="1"/>
  </cols>
  <sheetData>
    <row r="1" spans="1:17" x14ac:dyDescent="0.45">
      <c r="A1" s="10"/>
      <c r="B1" s="8" t="s">
        <v>21</v>
      </c>
      <c r="C1" s="9" t="s">
        <v>22</v>
      </c>
      <c r="D1" s="18" t="s">
        <v>23</v>
      </c>
      <c r="E1" s="18" t="s">
        <v>24</v>
      </c>
      <c r="F1" s="1" t="s">
        <v>25</v>
      </c>
      <c r="G1" s="18" t="s">
        <v>26</v>
      </c>
      <c r="H1" s="16" t="s">
        <v>27</v>
      </c>
      <c r="I1" s="19" t="s">
        <v>15</v>
      </c>
    </row>
    <row r="2" spans="1:17" ht="14.65" thickBot="1" x14ac:dyDescent="0.5">
      <c r="A2" s="1" t="s">
        <v>10</v>
      </c>
      <c r="C2" s="2">
        <v>0.25452000000000002</v>
      </c>
      <c r="D2" s="2">
        <v>0.25314999999999999</v>
      </c>
      <c r="E2" s="2">
        <v>0.25374999999999998</v>
      </c>
      <c r="F2" s="2">
        <f>SUM(C2:E2)</f>
        <v>0.76141999999999999</v>
      </c>
      <c r="G2" s="2">
        <v>0.29006999999999999</v>
      </c>
      <c r="H2" s="11">
        <v>0.18593999999999999</v>
      </c>
      <c r="I2" s="17">
        <v>5.0000000000000001E-4</v>
      </c>
    </row>
    <row r="3" spans="1:17" x14ac:dyDescent="0.45">
      <c r="A3" s="1" t="s">
        <v>12</v>
      </c>
      <c r="B3" s="2">
        <v>0.25634000000000001</v>
      </c>
      <c r="C3" s="2">
        <v>0.27538000000000001</v>
      </c>
      <c r="F3" s="2">
        <f>C3+D2+E2</f>
        <v>0.78227999999999986</v>
      </c>
      <c r="H3" s="5"/>
    </row>
    <row r="4" spans="1:17" ht="14.65" thickBot="1" x14ac:dyDescent="0.5">
      <c r="A4" s="13" t="s">
        <v>11</v>
      </c>
      <c r="B4" s="6"/>
      <c r="C4" s="12">
        <v>0.25686999999999999</v>
      </c>
      <c r="D4" s="6"/>
      <c r="E4" s="6"/>
      <c r="F4" s="2">
        <f>B3+D2+E2</f>
        <v>0.76323999999999992</v>
      </c>
      <c r="G4" s="6"/>
      <c r="H4" s="7"/>
    </row>
    <row r="15" spans="1:17" x14ac:dyDescent="0.45">
      <c r="O15" s="2"/>
    </row>
    <row r="16" spans="1:17" x14ac:dyDescent="0.45">
      <c r="O16" s="2"/>
      <c r="P16" s="2"/>
      <c r="Q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D20B8-4704-416F-978B-B5A7A6B8003E}">
  <sheetPr codeName="Foglio2"/>
  <dimension ref="A1:E8"/>
  <sheetViews>
    <sheetView workbookViewId="0">
      <selection activeCell="B2" sqref="B2:E2"/>
    </sheetView>
  </sheetViews>
  <sheetFormatPr defaultRowHeight="14.25" x14ac:dyDescent="0.45"/>
  <cols>
    <col min="4" max="4" width="11.73046875" bestFit="1" customWidth="1"/>
    <col min="5" max="5" width="13.46484375" customWidth="1"/>
  </cols>
  <sheetData>
    <row r="1" spans="1:5" x14ac:dyDescent="0.45">
      <c r="A1" s="3"/>
      <c r="B1" s="47" t="s">
        <v>13</v>
      </c>
      <c r="C1" s="48"/>
      <c r="D1" s="49" t="s">
        <v>14</v>
      </c>
      <c r="E1" s="48"/>
    </row>
    <row r="2" spans="1:5" ht="14.65" thickBot="1" x14ac:dyDescent="0.5">
      <c r="A2" s="4"/>
      <c r="B2" s="24" t="s">
        <v>19</v>
      </c>
      <c r="C2" s="25" t="s">
        <v>20</v>
      </c>
      <c r="D2" s="26" t="s">
        <v>19</v>
      </c>
      <c r="E2" s="25" t="s">
        <v>20</v>
      </c>
    </row>
    <row r="3" spans="1:5" x14ac:dyDescent="0.45">
      <c r="A3" s="3">
        <v>1</v>
      </c>
      <c r="B3" s="4">
        <v>0.249</v>
      </c>
      <c r="C3" s="5">
        <v>0.04</v>
      </c>
      <c r="D3">
        <v>0.76900000000000002</v>
      </c>
      <c r="E3" s="5">
        <v>4.2999999999999997E-2</v>
      </c>
    </row>
    <row r="4" spans="1:5" x14ac:dyDescent="0.45">
      <c r="A4" s="4">
        <v>2</v>
      </c>
      <c r="B4" s="4">
        <v>0.253</v>
      </c>
      <c r="C4" s="5">
        <v>4.2999999999999997E-2</v>
      </c>
      <c r="D4">
        <v>0.755</v>
      </c>
      <c r="E4" s="5">
        <v>3.7999999999999999E-2</v>
      </c>
    </row>
    <row r="5" spans="1:5" ht="14.65" thickBot="1" x14ac:dyDescent="0.5">
      <c r="A5" s="22">
        <v>3</v>
      </c>
      <c r="B5" s="4">
        <v>0.247</v>
      </c>
      <c r="C5" s="5">
        <v>4.2000000000000003E-2</v>
      </c>
      <c r="D5">
        <v>0.749</v>
      </c>
      <c r="E5" s="5">
        <v>3.7999999999999999E-2</v>
      </c>
    </row>
    <row r="6" spans="1:5" x14ac:dyDescent="0.45">
      <c r="A6" s="20" t="s">
        <v>2</v>
      </c>
      <c r="B6" s="4">
        <f>AVERAGE(B3:B5)</f>
        <v>0.24966666666666668</v>
      </c>
      <c r="C6" s="5">
        <f>SQRT(C3^2+C4^2+C5^2)/3</f>
        <v>2.4067036008246265E-2</v>
      </c>
      <c r="D6">
        <f>AVERAGE(D3:D5)</f>
        <v>0.75766666666666671</v>
      </c>
      <c r="E6" s="5">
        <f>SQRT(E3^2+E4^2+E5^2)/3</f>
        <v>2.2941955743426352E-2</v>
      </c>
    </row>
    <row r="7" spans="1:5" x14ac:dyDescent="0.45">
      <c r="A7" s="20" t="s">
        <v>3</v>
      </c>
      <c r="B7" s="4">
        <f>_xlfn.STDEV.S(B3:B5)</f>
        <v>3.0550504633038958E-3</v>
      </c>
      <c r="C7" s="5"/>
      <c r="D7">
        <f>_xlfn.STDEV.S(D3:D5)</f>
        <v>1.0263202878893778E-2</v>
      </c>
      <c r="E7" s="5"/>
    </row>
    <row r="8" spans="1:5" ht="14.65" thickBot="1" x14ac:dyDescent="0.5">
      <c r="A8" s="21" t="s">
        <v>7</v>
      </c>
      <c r="B8" s="22">
        <f>B7/SQRT(3)</f>
        <v>1.7638342073763953E-3</v>
      </c>
      <c r="C8" s="7"/>
      <c r="D8" s="6">
        <f>D7/SQRT(3)</f>
        <v>5.9254629448770649E-3</v>
      </c>
      <c r="E8" s="7"/>
    </row>
  </sheetData>
  <mergeCells count="2">
    <mergeCell ref="B1:C1"/>
    <mergeCell ref="D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811AF-387E-46AF-B6A9-D2FF56ED2C76}">
  <sheetPr codeName="Foglio3"/>
  <dimension ref="A1:G8"/>
  <sheetViews>
    <sheetView workbookViewId="0">
      <selection activeCell="G13" sqref="G13"/>
    </sheetView>
  </sheetViews>
  <sheetFormatPr defaultRowHeight="14.25" x14ac:dyDescent="0.45"/>
  <sheetData>
    <row r="1" spans="1:7" ht="14.65" thickBot="1" x14ac:dyDescent="0.5">
      <c r="A1" s="3"/>
      <c r="B1" s="47" t="s">
        <v>16</v>
      </c>
      <c r="C1" s="49"/>
      <c r="D1" s="49"/>
      <c r="E1" s="48"/>
      <c r="F1" s="15" t="s">
        <v>4</v>
      </c>
      <c r="G1" s="16" t="s">
        <v>5</v>
      </c>
    </row>
    <row r="2" spans="1:7" ht="14.65" thickBot="1" x14ac:dyDescent="0.5">
      <c r="A2" s="4"/>
      <c r="B2" s="27" t="s">
        <v>0</v>
      </c>
      <c r="C2" s="28" t="s">
        <v>1</v>
      </c>
      <c r="D2" s="28" t="s">
        <v>17</v>
      </c>
      <c r="E2" s="29" t="s">
        <v>18</v>
      </c>
      <c r="F2" s="12">
        <v>10</v>
      </c>
      <c r="G2" s="14">
        <v>1</v>
      </c>
    </row>
    <row r="3" spans="1:7" x14ac:dyDescent="0.45">
      <c r="A3" s="4">
        <v>1</v>
      </c>
      <c r="B3" s="4">
        <v>0.26400000000000001</v>
      </c>
      <c r="C3">
        <v>1.9E-3</v>
      </c>
      <c r="D3">
        <v>0.17599999999999999</v>
      </c>
      <c r="E3" s="5">
        <v>1.5E-3</v>
      </c>
    </row>
    <row r="4" spans="1:7" x14ac:dyDescent="0.45">
      <c r="A4" s="4">
        <v>2</v>
      </c>
      <c r="B4" s="4">
        <v>0.25700000000000001</v>
      </c>
      <c r="C4">
        <v>1.8E-3</v>
      </c>
      <c r="D4">
        <v>0.16</v>
      </c>
      <c r="E4" s="5">
        <v>3.0999999999999999E-3</v>
      </c>
    </row>
    <row r="5" spans="1:7" x14ac:dyDescent="0.45">
      <c r="A5" s="4">
        <v>3</v>
      </c>
      <c r="B5" s="4">
        <v>0.26</v>
      </c>
      <c r="C5">
        <v>3.2000000000000002E-3</v>
      </c>
      <c r="D5">
        <v>0.17499999999999999</v>
      </c>
      <c r="E5" s="5">
        <v>2.3E-3</v>
      </c>
    </row>
    <row r="6" spans="1:7" x14ac:dyDescent="0.45">
      <c r="A6" s="20" t="s">
        <v>2</v>
      </c>
      <c r="B6" s="4">
        <f>AVERAGE(B3:B5)</f>
        <v>0.26033333333333336</v>
      </c>
      <c r="C6">
        <f>SQRT(C3^2+C4^2+C5^2)/3</f>
        <v>1.3780017739062926E-3</v>
      </c>
      <c r="D6">
        <f>AVERAGE(D3:D5)</f>
        <v>0.17033333333333331</v>
      </c>
      <c r="E6" s="5">
        <f>AVERAGE(E3:E5)</f>
        <v>2.3E-3</v>
      </c>
    </row>
    <row r="7" spans="1:7" x14ac:dyDescent="0.45">
      <c r="A7" s="20" t="s">
        <v>3</v>
      </c>
      <c r="B7" s="4">
        <f>_xlfn.STDEV.S(B3:B5)</f>
        <v>3.5118845842842493E-3</v>
      </c>
      <c r="D7">
        <f>_xlfn.STDEV.S(D3:D5)</f>
        <v>8.9628864398324931E-3</v>
      </c>
      <c r="E7" s="5"/>
    </row>
    <row r="8" spans="1:7" ht="14.65" thickBot="1" x14ac:dyDescent="0.5">
      <c r="A8" s="21" t="s">
        <v>7</v>
      </c>
      <c r="B8" s="22">
        <f>B7/SQRT(3)</f>
        <v>2.0275875100994084E-3</v>
      </c>
      <c r="C8" s="6"/>
      <c r="D8" s="6">
        <f>D7/SQRT(3)</f>
        <v>5.1747248987533368E-3</v>
      </c>
      <c r="E8" s="7"/>
    </row>
  </sheetData>
  <mergeCells count="1">
    <mergeCell ref="B1:E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9650D-6BE1-4288-A9ED-8CD51BE871FF}">
  <sheetPr codeName="Foglio4"/>
  <dimension ref="A1:I3"/>
  <sheetViews>
    <sheetView workbookViewId="0">
      <selection activeCell="I14" sqref="I14"/>
    </sheetView>
  </sheetViews>
  <sheetFormatPr defaultRowHeight="14.25" x14ac:dyDescent="0.45"/>
  <cols>
    <col min="1" max="1" width="7.3984375" bestFit="1" customWidth="1"/>
    <col min="2" max="2" width="8.796875" bestFit="1" customWidth="1"/>
    <col min="3" max="3" width="13.3984375" bestFit="1" customWidth="1"/>
    <col min="4" max="5" width="17.59765625" bestFit="1" customWidth="1"/>
    <col min="6" max="6" width="16.33203125" bestFit="1" customWidth="1"/>
    <col min="7" max="7" width="11.6640625" bestFit="1" customWidth="1"/>
    <col min="9" max="9" width="17" bestFit="1" customWidth="1"/>
  </cols>
  <sheetData>
    <row r="1" spans="1:9" ht="14.65" thickBot="1" x14ac:dyDescent="0.5">
      <c r="B1" s="26" t="s">
        <v>37</v>
      </c>
      <c r="C1" s="26" t="s">
        <v>28</v>
      </c>
      <c r="D1" s="26" t="s">
        <v>35</v>
      </c>
      <c r="E1" s="26" t="s">
        <v>29</v>
      </c>
      <c r="F1" s="26" t="s">
        <v>30</v>
      </c>
      <c r="G1" s="26" t="s">
        <v>33</v>
      </c>
      <c r="H1" s="26" t="s">
        <v>36</v>
      </c>
      <c r="I1" s="26" t="s">
        <v>38</v>
      </c>
    </row>
    <row r="2" spans="1:9" x14ac:dyDescent="0.45">
      <c r="A2" s="26" t="s">
        <v>31</v>
      </c>
      <c r="B2" s="30">
        <v>0.27538000000000001</v>
      </c>
      <c r="C2" s="10">
        <v>-0.26</v>
      </c>
      <c r="D2" s="10">
        <f>0.05/SQRT(3)</f>
        <v>2.8867513459481291E-2</v>
      </c>
      <c r="E2" s="10">
        <v>0.56000000000000005</v>
      </c>
      <c r="F2" s="10">
        <v>-0.54</v>
      </c>
      <c r="G2" s="31">
        <f>0.27538*(F2-E2)</f>
        <v>-0.30291800000000002</v>
      </c>
      <c r="H2" s="10">
        <f>0.5*B2*(F2-E2)^2</f>
        <v>0.16660490000000003</v>
      </c>
      <c r="I2" s="23">
        <f>-(B2*F2)/(B2*E2)</f>
        <v>0.9642857142857143</v>
      </c>
    </row>
    <row r="3" spans="1:9" ht="14.65" thickBot="1" x14ac:dyDescent="0.5">
      <c r="A3" s="26" t="s">
        <v>32</v>
      </c>
      <c r="B3" s="32">
        <v>0.25686999999999999</v>
      </c>
      <c r="C3" s="6">
        <v>-0.28999999999999998</v>
      </c>
      <c r="D3" s="6">
        <f>0.07/SQRT(3)</f>
        <v>4.0414518843273808E-2</v>
      </c>
      <c r="E3" s="6">
        <v>0.64</v>
      </c>
      <c r="F3" s="6">
        <v>-0.62</v>
      </c>
      <c r="G3" s="12">
        <f>0.25687*(F3-E3)</f>
        <v>-0.32365620000000001</v>
      </c>
      <c r="H3" s="6">
        <f>0.5*B3*(F3-E3)^2</f>
        <v>0.20390340600000001</v>
      </c>
      <c r="I3" s="7">
        <f>-(B3*F3)/(B3*E3)</f>
        <v>0.96875000000000011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86164-6404-4192-AA86-8FC9D80B21B0}">
  <dimension ref="A1:K9"/>
  <sheetViews>
    <sheetView workbookViewId="0">
      <selection activeCell="H10" sqref="H10"/>
    </sheetView>
  </sheetViews>
  <sheetFormatPr defaultRowHeight="14.25" x14ac:dyDescent="0.45"/>
  <cols>
    <col min="2" max="2" width="9" bestFit="1" customWidth="1"/>
    <col min="3" max="4" width="16.33203125" bestFit="1" customWidth="1"/>
    <col min="5" max="5" width="9" bestFit="1" customWidth="1"/>
    <col min="6" max="6" width="17.59765625" bestFit="1" customWidth="1"/>
    <col min="7" max="7" width="16.33203125" bestFit="1" customWidth="1"/>
    <col min="8" max="8" width="27.1328125" bestFit="1" customWidth="1"/>
    <col min="9" max="9" width="25.9296875" bestFit="1" customWidth="1"/>
    <col min="10" max="10" width="14.1328125" bestFit="1" customWidth="1"/>
    <col min="11" max="11" width="13.265625" bestFit="1" customWidth="1"/>
  </cols>
  <sheetData>
    <row r="1" spans="1:11" ht="14.65" thickBot="1" x14ac:dyDescent="0.5">
      <c r="B1" s="44" t="s">
        <v>8</v>
      </c>
      <c r="C1" s="45"/>
      <c r="D1" s="46"/>
      <c r="E1" s="37" t="s">
        <v>9</v>
      </c>
      <c r="F1" s="37"/>
      <c r="G1" s="37"/>
    </row>
    <row r="2" spans="1:11" ht="14.65" thickBot="1" x14ac:dyDescent="0.5">
      <c r="B2" s="24" t="s">
        <v>37</v>
      </c>
      <c r="C2" s="26" t="s">
        <v>29</v>
      </c>
      <c r="D2" s="25" t="s">
        <v>30</v>
      </c>
      <c r="E2" s="26" t="s">
        <v>37</v>
      </c>
      <c r="F2" s="34" t="s">
        <v>29</v>
      </c>
      <c r="G2" s="26" t="s">
        <v>30</v>
      </c>
      <c r="H2" s="51" t="s">
        <v>39</v>
      </c>
      <c r="I2" s="52" t="s">
        <v>40</v>
      </c>
      <c r="J2" s="51" t="s">
        <v>41</v>
      </c>
      <c r="K2" s="52" t="s">
        <v>42</v>
      </c>
    </row>
    <row r="3" spans="1:11" x14ac:dyDescent="0.45">
      <c r="A3" s="38" t="s">
        <v>31</v>
      </c>
      <c r="B3" s="30">
        <v>0.25634000000000001</v>
      </c>
      <c r="C3" s="10">
        <v>0.53500000000000003</v>
      </c>
      <c r="D3" s="10">
        <v>-2E-3</v>
      </c>
      <c r="E3" s="30">
        <v>0.27538000000000001</v>
      </c>
      <c r="F3" s="10">
        <v>0</v>
      </c>
      <c r="G3" s="10">
        <v>0.45800000000000002</v>
      </c>
      <c r="H3" s="3">
        <f>B3*C3</f>
        <v>0.13714190000000001</v>
      </c>
      <c r="I3" s="23">
        <f>B3*D3+E3*G3</f>
        <v>0.12561136000000003</v>
      </c>
      <c r="J3" s="3">
        <f>0.5*B3*C3^2</f>
        <v>3.6685458250000004E-2</v>
      </c>
      <c r="K3" s="23">
        <f>0.5*(B3*D3^2+E3*G3^2)</f>
        <v>2.8882917840000001E-2</v>
      </c>
    </row>
    <row r="4" spans="1:11" x14ac:dyDescent="0.45">
      <c r="A4" s="39"/>
      <c r="B4" s="35">
        <v>0.25634000000000001</v>
      </c>
      <c r="C4" s="36">
        <v>0.53</v>
      </c>
      <c r="D4">
        <v>-0.22600000000000001</v>
      </c>
      <c r="E4" s="35">
        <v>0.78227999999999998</v>
      </c>
      <c r="F4">
        <v>0</v>
      </c>
      <c r="G4" s="50">
        <v>0.24299999999999999</v>
      </c>
      <c r="H4" s="4">
        <f>B4*C4</f>
        <v>0.13586020000000001</v>
      </c>
      <c r="I4" s="5">
        <f>B4*D4+E4*G4</f>
        <v>0.13216119999999998</v>
      </c>
      <c r="J4" s="4">
        <f t="shared" ref="J4:J8" si="0">0.5*B4*C4^2</f>
        <v>3.6002953000000004E-2</v>
      </c>
      <c r="K4" s="5">
        <f t="shared" ref="K4:K8" si="1">0.5*(B4*D4^2+E4*G4^2)</f>
        <v>2.9642836780000001E-2</v>
      </c>
    </row>
    <row r="5" spans="1:11" ht="14.65" thickBot="1" x14ac:dyDescent="0.5">
      <c r="A5" s="40"/>
      <c r="B5" s="22">
        <v>0.76324000000000003</v>
      </c>
      <c r="C5" s="6">
        <v>0.36799999999999999</v>
      </c>
      <c r="D5" s="6">
        <v>0.158</v>
      </c>
      <c r="E5" s="32">
        <v>0.27538000000000001</v>
      </c>
      <c r="F5" s="6">
        <v>0</v>
      </c>
      <c r="G5" s="6">
        <v>0.48499999999999999</v>
      </c>
      <c r="H5" s="22">
        <f>B5*C5</f>
        <v>0.28087232000000001</v>
      </c>
      <c r="I5" s="7">
        <f>B5*D5+E5*G5</f>
        <v>0.25415122000000001</v>
      </c>
      <c r="J5" s="22">
        <f t="shared" si="0"/>
        <v>5.1680506879999998E-2</v>
      </c>
      <c r="K5" s="7">
        <f t="shared" si="1"/>
        <v>4.1914891930000003E-2</v>
      </c>
    </row>
    <row r="6" spans="1:11" x14ac:dyDescent="0.45">
      <c r="A6" s="41" t="s">
        <v>34</v>
      </c>
      <c r="B6" s="30">
        <v>0.25634000000000001</v>
      </c>
      <c r="C6" s="10">
        <v>0.57799999999999996</v>
      </c>
      <c r="D6" s="23">
        <v>0.253</v>
      </c>
      <c r="E6" s="10">
        <v>0.27538000000000001</v>
      </c>
      <c r="F6">
        <v>0</v>
      </c>
      <c r="G6" s="10">
        <v>0.253</v>
      </c>
      <c r="H6" s="4">
        <f>B6*C6</f>
        <v>0.14816451999999999</v>
      </c>
      <c r="I6" s="5">
        <f>B6*D6+E6*G6</f>
        <v>0.13452516</v>
      </c>
      <c r="J6" s="4">
        <f t="shared" si="0"/>
        <v>4.2819546279999995E-2</v>
      </c>
      <c r="K6" s="5">
        <f t="shared" si="1"/>
        <v>1.7017432739999998E-2</v>
      </c>
    </row>
    <row r="7" spans="1:11" x14ac:dyDescent="0.45">
      <c r="A7" s="42"/>
      <c r="B7" s="35">
        <v>0.25634000000000001</v>
      </c>
      <c r="C7">
        <v>0.57199999999999995</v>
      </c>
      <c r="D7" s="5">
        <v>0.14000000000000001</v>
      </c>
      <c r="E7" s="35">
        <v>0.78227999999999998</v>
      </c>
      <c r="F7">
        <v>0</v>
      </c>
      <c r="G7" s="50">
        <v>0.14000000000000001</v>
      </c>
      <c r="H7" s="4">
        <f>B7*C7</f>
        <v>0.14662648</v>
      </c>
      <c r="I7" s="5">
        <f>B7*D7+E7*G7</f>
        <v>0.1454068</v>
      </c>
      <c r="J7" s="4">
        <f t="shared" si="0"/>
        <v>4.1935173279999995E-2</v>
      </c>
      <c r="K7" s="5">
        <f>0.5*(B7*D7^2+E7*G7^2)</f>
        <v>1.0178476000000002E-2</v>
      </c>
    </row>
    <row r="8" spans="1:11" ht="14.65" thickBot="1" x14ac:dyDescent="0.5">
      <c r="A8" s="43"/>
      <c r="B8" s="22">
        <v>0.76324000000000003</v>
      </c>
      <c r="C8" s="6">
        <v>0.47799999999999998</v>
      </c>
      <c r="D8" s="7">
        <v>0.34399999999999997</v>
      </c>
      <c r="E8" s="32">
        <v>0.27538000000000001</v>
      </c>
      <c r="F8" s="6">
        <v>0</v>
      </c>
      <c r="G8" s="6">
        <v>0.34399999999999997</v>
      </c>
      <c r="H8" s="22">
        <f>B8*C8</f>
        <v>0.36482872</v>
      </c>
      <c r="I8" s="7">
        <f>B8*D8+E8*G8</f>
        <v>0.35728527999999998</v>
      </c>
      <c r="J8" s="22">
        <f t="shared" si="0"/>
        <v>8.7194064079999994E-2</v>
      </c>
      <c r="K8" s="7">
        <f t="shared" si="1"/>
        <v>6.1453068159999999E-2</v>
      </c>
    </row>
    <row r="9" spans="1:11" x14ac:dyDescent="0.45">
      <c r="A9" s="33"/>
    </row>
  </sheetData>
  <mergeCells count="4">
    <mergeCell ref="E1:G1"/>
    <mergeCell ref="A3:A5"/>
    <mergeCell ref="A6:A8"/>
    <mergeCell ref="B1:D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9C9B-A6DA-4DCB-AAF9-644BB5BB0918}">
  <dimension ref="A1:D3"/>
  <sheetViews>
    <sheetView tabSelected="1" workbookViewId="0">
      <selection activeCell="D7" sqref="D7"/>
    </sheetView>
  </sheetViews>
  <sheetFormatPr defaultRowHeight="14.25" x14ac:dyDescent="0.45"/>
  <sheetData>
    <row r="1" spans="1:4" x14ac:dyDescent="0.45">
      <c r="A1" s="47" t="s">
        <v>43</v>
      </c>
      <c r="B1" s="48"/>
      <c r="C1" s="49" t="s">
        <v>44</v>
      </c>
      <c r="D1" s="48"/>
    </row>
    <row r="2" spans="1:4" x14ac:dyDescent="0.45">
      <c r="A2" s="24" t="s">
        <v>37</v>
      </c>
      <c r="B2" s="25" t="s">
        <v>45</v>
      </c>
      <c r="C2" s="53" t="s">
        <v>37</v>
      </c>
      <c r="D2" s="25" t="s">
        <v>45</v>
      </c>
    </row>
    <row r="3" spans="1:4" ht="14.65" thickBot="1" x14ac:dyDescent="0.5">
      <c r="A3" s="22">
        <v>0.29006999999999999</v>
      </c>
      <c r="B3" s="7">
        <v>0.68</v>
      </c>
      <c r="C3" s="6">
        <f>0.29007+0.18594</f>
        <v>0.47600999999999999</v>
      </c>
      <c r="D3" s="7">
        <v>0.94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D9449-1CDD-4EB3-AB4D-96086F39488A}">
  <sheetPr codeName="Foglio5"/>
  <dimension ref="A1:B8"/>
  <sheetViews>
    <sheetView workbookViewId="0">
      <selection activeCell="G20" sqref="G20"/>
    </sheetView>
  </sheetViews>
  <sheetFormatPr defaultRowHeight="14.25" x14ac:dyDescent="0.45"/>
  <cols>
    <col min="1" max="1" width="18.46484375" customWidth="1"/>
  </cols>
  <sheetData>
    <row r="1" spans="1:2" x14ac:dyDescent="0.45">
      <c r="A1" t="s">
        <v>6</v>
      </c>
    </row>
    <row r="2" spans="1:2" x14ac:dyDescent="0.45">
      <c r="A2">
        <v>1.478</v>
      </c>
      <c r="B2">
        <f>(9.81*SIN(0.1745)-A2)/(9.81*COS(0.1745))</f>
        <v>2.3307117630363073E-2</v>
      </c>
    </row>
    <row r="3" spans="1:2" x14ac:dyDescent="0.45">
      <c r="A3">
        <v>1.5192000000000001</v>
      </c>
      <c r="B3">
        <f t="shared" ref="B3:B6" si="0">(9.81*SIN(0.1745)-A3)/(9.81*COS(0.1745))</f>
        <v>1.904255763514243E-2</v>
      </c>
    </row>
    <row r="4" spans="1:2" x14ac:dyDescent="0.45">
      <c r="A4">
        <v>1.5113000000000001</v>
      </c>
      <c r="B4">
        <f t="shared" si="0"/>
        <v>1.9860276663352213E-2</v>
      </c>
    </row>
    <row r="5" spans="1:2" x14ac:dyDescent="0.45">
      <c r="A5">
        <v>1.5176000000000001</v>
      </c>
      <c r="B5">
        <f t="shared" si="0"/>
        <v>1.9208171615539352E-2</v>
      </c>
    </row>
    <row r="6" spans="1:2" x14ac:dyDescent="0.45">
      <c r="A6">
        <v>1.5246999999999999</v>
      </c>
      <c r="B6">
        <f t="shared" si="0"/>
        <v>1.8473259577528042E-2</v>
      </c>
    </row>
    <row r="7" spans="1:2" x14ac:dyDescent="0.45">
      <c r="A7" s="1">
        <f>AVERAGE(A2:A6)</f>
        <v>1.5101600000000002</v>
      </c>
    </row>
    <row r="8" spans="1:2" x14ac:dyDescent="0.45">
      <c r="A8">
        <f>_xlfn.STDEV.S(A2:A6)</f>
        <v>1.860142467662089E-2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BC1E459-C469-48B1-9340-5AACBCCBA89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Misura masse</vt:lpstr>
      <vt:lpstr>Carrello</vt:lpstr>
      <vt:lpstr>Piano inclinato</vt:lpstr>
      <vt:lpstr>Urto magnete e molla</vt:lpstr>
      <vt:lpstr>Urti tra carrelli</vt:lpstr>
      <vt:lpstr>Attrito statico</vt:lpstr>
      <vt:lpstr>Attrito dinamico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lastModifiedBy>m.declich@campus.unimib.it</cp:lastModifiedBy>
  <dcterms:created xsi:type="dcterms:W3CDTF">2026-04-21T08:47:18Z</dcterms:created>
  <dcterms:modified xsi:type="dcterms:W3CDTF">2026-05-22T14:09:47Z</dcterms:modified>
</cp:coreProperties>
</file>