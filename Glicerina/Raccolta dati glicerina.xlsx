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Documenti/Università/I° anno/Laboratorio I/Esperienze in laboratorio/"/>
    </mc:Choice>
  </mc:AlternateContent>
  <xr:revisionPtr revIDLastSave="362" documentId="8_{3E4C391D-4A56-4EC9-A5D1-D8C7C57F9136}" xr6:coauthVersionLast="47" xr6:coauthVersionMax="47" xr10:uidLastSave="{25A972DB-08BE-4084-8E4D-BACB12EE461A}"/>
  <bookViews>
    <workbookView xWindow="10718" yWindow="0" windowWidth="10965" windowHeight="12863" firstSheet="2" activeTab="2" xr2:uid="{00000000-000D-0000-FFFF-FFFF00000000}"/>
  </bookViews>
  <sheets>
    <sheet name="Diametro palline" sheetId="1" r:id="rId1"/>
    <sheet name="Massa palline" sheetId="2" r:id="rId2"/>
    <sheet name="Tempi di caduta (10 cm)" sheetId="3" r:id="rId3"/>
    <sheet name="Tempi di caduta (20 cm)" sheetId="4" r:id="rId4"/>
  </sheets>
  <definedNames>
    <definedName name="_xlchart.v1.0" hidden="1">'Tempi di caduta (10 cm)'!$B$2:$B$101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/>
  <c r="F14" i="4" s="1"/>
  <c r="F12" i="4"/>
  <c r="F15" i="4" s="1"/>
  <c r="E12" i="4" l="1"/>
  <c r="E13" i="4"/>
  <c r="E14" i="4" s="1"/>
  <c r="C12" i="4"/>
  <c r="D13" i="4"/>
  <c r="D14" i="4" s="1"/>
  <c r="E15" i="4"/>
  <c r="E16" i="4" s="1"/>
  <c r="B106" i="3"/>
  <c r="C15" i="4"/>
  <c r="C13" i="4"/>
  <c r="C14" i="4" s="1"/>
  <c r="B105" i="3"/>
  <c r="G6" i="2"/>
  <c r="H6" i="2"/>
  <c r="G5" i="2"/>
  <c r="C6" i="2"/>
  <c r="D6" i="2"/>
  <c r="E6" i="2"/>
  <c r="F6" i="2"/>
  <c r="B6" i="2"/>
  <c r="B13" i="4"/>
  <c r="B14" i="4" s="1"/>
  <c r="D12" i="4"/>
  <c r="D15" i="4" s="1"/>
  <c r="B12" i="4"/>
  <c r="B15" i="4" s="1"/>
  <c r="B16" i="4" s="1"/>
  <c r="B103" i="3"/>
  <c r="B104" i="3" s="1"/>
  <c r="B102" i="3"/>
  <c r="H5" i="2"/>
  <c r="F5" i="2"/>
  <c r="E5" i="2"/>
  <c r="D5" i="2"/>
  <c r="C5" i="2"/>
  <c r="B5" i="2"/>
  <c r="H4" i="2"/>
  <c r="H3" i="2"/>
  <c r="H2" i="2"/>
  <c r="K6" i="1"/>
  <c r="J6" i="1"/>
  <c r="I6" i="1"/>
  <c r="H6" i="1"/>
  <c r="G6" i="1"/>
  <c r="F6" i="1"/>
  <c r="E6" i="1"/>
  <c r="D6" i="1"/>
  <c r="C6" i="1"/>
  <c r="B6" i="1"/>
  <c r="K5" i="1"/>
  <c r="J5" i="1"/>
  <c r="I5" i="1"/>
  <c r="H5" i="1"/>
  <c r="G5" i="1"/>
  <c r="F5" i="1"/>
  <c r="E5" i="1"/>
  <c r="D5" i="1"/>
  <c r="C5" i="1"/>
  <c r="B5" i="1"/>
  <c r="L5" i="1" s="1"/>
  <c r="D16" i="4" l="1"/>
  <c r="C16" i="4"/>
  <c r="F16" i="4"/>
  <c r="L6" i="1"/>
</calcChain>
</file>

<file path=xl/sharedStrings.xml><?xml version="1.0" encoding="utf-8"?>
<sst xmlns="http://schemas.openxmlformats.org/spreadsheetml/2006/main" count="41" uniqueCount="34">
  <si>
    <t>Diametro 1 (mm)</t>
  </si>
  <si>
    <t>Diametro 2 (mm)</t>
  </si>
  <si>
    <t>Diametro  3 (mm)</t>
  </si>
  <si>
    <t xml:space="preserve"> Diametro 4 (mm)</t>
  </si>
  <si>
    <t>Diametro 5 (mm)</t>
  </si>
  <si>
    <t>Diametro 6 (mm)</t>
  </si>
  <si>
    <t xml:space="preserve"> Diametro 7 (mm)</t>
  </si>
  <si>
    <t xml:space="preserve"> Diametro 8 (mm)</t>
  </si>
  <si>
    <t>Diametro 9 (mm)</t>
  </si>
  <si>
    <t>Diametro 10 (mm)</t>
  </si>
  <si>
    <t>Diametro medio</t>
  </si>
  <si>
    <t>Media</t>
  </si>
  <si>
    <t>Deviazione standard</t>
  </si>
  <si>
    <t>Massa 1 (g)</t>
  </si>
  <si>
    <t>Massa 2 (g)</t>
  </si>
  <si>
    <t>Massa 3 (g)</t>
  </si>
  <si>
    <t>Massa 4 (g)</t>
  </si>
  <si>
    <t>Massa 5 (g)</t>
  </si>
  <si>
    <t>Massa 10 palline (g)</t>
  </si>
  <si>
    <t>Massa 10 palline/10 (g)</t>
  </si>
  <si>
    <t>Tempi caduta (s)</t>
  </si>
  <si>
    <t>Errore standard media</t>
  </si>
  <si>
    <t>Velocità limite</t>
  </si>
  <si>
    <t>Incertezza sulla velocità</t>
  </si>
  <si>
    <t>2mm</t>
  </si>
  <si>
    <t>3mm</t>
  </si>
  <si>
    <t>4mm</t>
  </si>
  <si>
    <t>5mm</t>
  </si>
  <si>
    <t>6mm</t>
  </si>
  <si>
    <t>Incertezza su V</t>
  </si>
  <si>
    <t>Misurazione 1</t>
  </si>
  <si>
    <t>Misurazione 2</t>
  </si>
  <si>
    <t>Misurazione 3</t>
  </si>
  <si>
    <t>Velocità (mm/s)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</si>
</sst>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2" fontId="1" fillId="0" borderId="4" xfId="0" applyNumberFormat="1" applyFont="1" applyBorder="1"/>
    <xf numFmtId="2" fontId="1" fillId="0" borderId="0" xfId="0" applyNumberFormat="1" applyFont="1"/>
    <xf numFmtId="2" fontId="1" fillId="0" borderId="5" xfId="0" applyNumberFormat="1" applyFont="1" applyBorder="1"/>
    <xf numFmtId="2" fontId="1" fillId="0" borderId="1" xfId="0" applyNumberFormat="1" applyFont="1" applyBorder="1"/>
    <xf numFmtId="2" fontId="1" fillId="0" borderId="2" xfId="0" applyNumberFormat="1" applyFont="1" applyBorder="1"/>
    <xf numFmtId="0" fontId="1" fillId="2" borderId="6" xfId="0" applyFont="1" applyFill="1" applyBorder="1"/>
    <xf numFmtId="2" fontId="1" fillId="0" borderId="6" xfId="0" applyNumberFormat="1" applyFont="1" applyBorder="1"/>
    <xf numFmtId="2" fontId="1" fillId="0" borderId="7" xfId="0" applyNumberFormat="1" applyFont="1" applyBorder="1"/>
    <xf numFmtId="0" fontId="1" fillId="0" borderId="0" xfId="0" applyFont="1"/>
    <xf numFmtId="0" fontId="1" fillId="4" borderId="0" xfId="0" applyFont="1" applyFill="1"/>
    <xf numFmtId="164" fontId="1" fillId="0" borderId="0" xfId="0" applyNumberFormat="1" applyFont="1"/>
    <xf numFmtId="0" fontId="1" fillId="2" borderId="0" xfId="0" applyFont="1" applyFill="1"/>
    <xf numFmtId="164" fontId="1" fillId="0" borderId="2" xfId="0" applyNumberFormat="1" applyFont="1" applyBorder="1"/>
    <xf numFmtId="164" fontId="1" fillId="3" borderId="3" xfId="0" applyNumberFormat="1" applyFont="1" applyFill="1" applyBorder="1"/>
    <xf numFmtId="164" fontId="1" fillId="0" borderId="7" xfId="0" applyNumberFormat="1" applyFont="1" applyBorder="1"/>
    <xf numFmtId="0" fontId="1" fillId="2" borderId="9" xfId="0" applyFont="1" applyFill="1" applyBorder="1"/>
    <xf numFmtId="0" fontId="2" fillId="5" borderId="0" xfId="0" applyFont="1" applyFill="1"/>
    <xf numFmtId="2" fontId="1" fillId="0" borderId="10" xfId="0" applyNumberFormat="1" applyFont="1" applyBorder="1"/>
    <xf numFmtId="2" fontId="1" fillId="0" borderId="11" xfId="0" applyNumberFormat="1" applyFont="1" applyBorder="1"/>
    <xf numFmtId="0" fontId="1" fillId="3" borderId="0" xfId="0" applyFont="1" applyFill="1"/>
    <xf numFmtId="2" fontId="1" fillId="3" borderId="0" xfId="0" applyNumberFormat="1" applyFont="1" applyFill="1"/>
    <xf numFmtId="0" fontId="1" fillId="6" borderId="0" xfId="0" applyFont="1" applyFill="1"/>
    <xf numFmtId="0" fontId="1" fillId="0" borderId="1" xfId="0" applyFont="1" applyBorder="1"/>
    <xf numFmtId="0" fontId="1" fillId="2" borderId="3" xfId="0" applyFont="1" applyFill="1" applyBorder="1"/>
    <xf numFmtId="0" fontId="1" fillId="5" borderId="4" xfId="0" applyFont="1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165" fontId="1" fillId="7" borderId="7" xfId="0" applyNumberFormat="1" applyFont="1" applyFill="1" applyBorder="1"/>
    <xf numFmtId="2" fontId="1" fillId="6" borderId="0" xfId="0" applyNumberFormat="1" applyFont="1" applyFill="1"/>
    <xf numFmtId="0" fontId="4" fillId="0" borderId="0" xfId="0" applyFont="1"/>
    <xf numFmtId="2" fontId="0" fillId="0" borderId="0" xfId="0" applyNumberFormat="1"/>
    <xf numFmtId="166" fontId="1" fillId="3" borderId="8" xfId="0" applyNumberFormat="1" applyFont="1" applyFill="1" applyBorder="1"/>
    <xf numFmtId="0" fontId="5" fillId="0" borderId="0" xfId="0" applyFont="1"/>
    <xf numFmtId="2" fontId="6" fillId="0" borderId="0" xfId="0" applyNumberFormat="1" applyFont="1"/>
    <xf numFmtId="2" fontId="7" fillId="0" borderId="0" xfId="0" applyNumberFormat="1" applyFont="1"/>
    <xf numFmtId="2" fontId="7" fillId="0" borderId="3" xfId="0" applyNumberFormat="1" applyFont="1" applyBorder="1"/>
    <xf numFmtId="0" fontId="8" fillId="0" borderId="0" xfId="0" applyFont="1" applyAlignment="1">
      <alignment vertical="center" wrapText="1"/>
    </xf>
  </cellXfs>
  <cellStyles count="1">
    <cellStyle name="Normale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'Tempi di caduta (10 cm)'!$B$2:$B$101</c:f>
              <c:numCache>
                <c:formatCode>0.00</c:formatCode>
                <c:ptCount val="100"/>
                <c:pt idx="0">
                  <c:v>4.09</c:v>
                </c:pt>
                <c:pt idx="1">
                  <c:v>4.1500000000000004</c:v>
                </c:pt>
                <c:pt idx="2">
                  <c:v>3.86</c:v>
                </c:pt>
                <c:pt idx="3">
                  <c:v>3.92</c:v>
                </c:pt>
                <c:pt idx="4">
                  <c:v>4</c:v>
                </c:pt>
                <c:pt idx="5">
                  <c:v>3.81</c:v>
                </c:pt>
                <c:pt idx="6">
                  <c:v>3.96</c:v>
                </c:pt>
                <c:pt idx="7">
                  <c:v>4.1500000000000004</c:v>
                </c:pt>
                <c:pt idx="8">
                  <c:v>3.92</c:v>
                </c:pt>
                <c:pt idx="9">
                  <c:v>4</c:v>
                </c:pt>
                <c:pt idx="10">
                  <c:v>3.93</c:v>
                </c:pt>
                <c:pt idx="11">
                  <c:v>3.92</c:v>
                </c:pt>
                <c:pt idx="12">
                  <c:v>3.85</c:v>
                </c:pt>
                <c:pt idx="13">
                  <c:v>3.71</c:v>
                </c:pt>
                <c:pt idx="14">
                  <c:v>3.95</c:v>
                </c:pt>
                <c:pt idx="15">
                  <c:v>3.44</c:v>
                </c:pt>
                <c:pt idx="16">
                  <c:v>4.1399999999999997</c:v>
                </c:pt>
                <c:pt idx="17">
                  <c:v>3.83</c:v>
                </c:pt>
                <c:pt idx="18">
                  <c:v>4.1500000000000004</c:v>
                </c:pt>
                <c:pt idx="19">
                  <c:v>3.87</c:v>
                </c:pt>
                <c:pt idx="20">
                  <c:v>3.78</c:v>
                </c:pt>
                <c:pt idx="21">
                  <c:v>4.01</c:v>
                </c:pt>
                <c:pt idx="22">
                  <c:v>3.83</c:v>
                </c:pt>
                <c:pt idx="23">
                  <c:v>3.75</c:v>
                </c:pt>
                <c:pt idx="24">
                  <c:v>3.88</c:v>
                </c:pt>
                <c:pt idx="25">
                  <c:v>4.1100000000000003</c:v>
                </c:pt>
                <c:pt idx="26">
                  <c:v>4.4800000000000004</c:v>
                </c:pt>
                <c:pt idx="27">
                  <c:v>3.91</c:v>
                </c:pt>
                <c:pt idx="28">
                  <c:v>4.3499999999999996</c:v>
                </c:pt>
                <c:pt idx="29">
                  <c:v>4.04</c:v>
                </c:pt>
                <c:pt idx="30">
                  <c:v>3.76</c:v>
                </c:pt>
                <c:pt idx="31">
                  <c:v>3.97</c:v>
                </c:pt>
                <c:pt idx="32">
                  <c:v>3.85</c:v>
                </c:pt>
                <c:pt idx="33">
                  <c:v>3.86</c:v>
                </c:pt>
                <c:pt idx="34">
                  <c:v>3.72</c:v>
                </c:pt>
                <c:pt idx="35">
                  <c:v>3.93</c:v>
                </c:pt>
                <c:pt idx="36">
                  <c:v>3.72</c:v>
                </c:pt>
                <c:pt idx="37">
                  <c:v>3.8</c:v>
                </c:pt>
                <c:pt idx="38">
                  <c:v>3.88</c:v>
                </c:pt>
                <c:pt idx="39">
                  <c:v>3.82</c:v>
                </c:pt>
                <c:pt idx="40">
                  <c:v>3.71</c:v>
                </c:pt>
                <c:pt idx="41">
                  <c:v>4.59</c:v>
                </c:pt>
                <c:pt idx="42">
                  <c:v>3.71</c:v>
                </c:pt>
                <c:pt idx="43">
                  <c:v>3.74</c:v>
                </c:pt>
                <c:pt idx="44">
                  <c:v>3.64</c:v>
                </c:pt>
                <c:pt idx="45">
                  <c:v>3.71</c:v>
                </c:pt>
                <c:pt idx="46">
                  <c:v>3.68</c:v>
                </c:pt>
                <c:pt idx="47">
                  <c:v>3.73</c:v>
                </c:pt>
                <c:pt idx="48">
                  <c:v>3.96</c:v>
                </c:pt>
                <c:pt idx="49">
                  <c:v>3.6</c:v>
                </c:pt>
                <c:pt idx="50">
                  <c:v>3.74</c:v>
                </c:pt>
                <c:pt idx="51">
                  <c:v>4.0999999999999996</c:v>
                </c:pt>
                <c:pt idx="52">
                  <c:v>4.07</c:v>
                </c:pt>
                <c:pt idx="53">
                  <c:v>3.89</c:v>
                </c:pt>
                <c:pt idx="54">
                  <c:v>3.9</c:v>
                </c:pt>
                <c:pt idx="55">
                  <c:v>3.63</c:v>
                </c:pt>
                <c:pt idx="56">
                  <c:v>3.7</c:v>
                </c:pt>
                <c:pt idx="57">
                  <c:v>3.45</c:v>
                </c:pt>
                <c:pt idx="58">
                  <c:v>3.41</c:v>
                </c:pt>
                <c:pt idx="59">
                  <c:v>4.1100000000000003</c:v>
                </c:pt>
                <c:pt idx="60">
                  <c:v>4.18</c:v>
                </c:pt>
                <c:pt idx="61">
                  <c:v>4.33</c:v>
                </c:pt>
                <c:pt idx="62">
                  <c:v>4.0599999999999996</c:v>
                </c:pt>
                <c:pt idx="63">
                  <c:v>3.95</c:v>
                </c:pt>
                <c:pt idx="64">
                  <c:v>3.89</c:v>
                </c:pt>
                <c:pt idx="65">
                  <c:v>4.08</c:v>
                </c:pt>
                <c:pt idx="66">
                  <c:v>3.84</c:v>
                </c:pt>
                <c:pt idx="67">
                  <c:v>4.21</c:v>
                </c:pt>
                <c:pt idx="68">
                  <c:v>4.1100000000000003</c:v>
                </c:pt>
                <c:pt idx="69">
                  <c:v>4.3499999999999996</c:v>
                </c:pt>
                <c:pt idx="70">
                  <c:v>4.08</c:v>
                </c:pt>
                <c:pt idx="71">
                  <c:v>3.96</c:v>
                </c:pt>
                <c:pt idx="72">
                  <c:v>4.07</c:v>
                </c:pt>
                <c:pt idx="73">
                  <c:v>4.1399999999999997</c:v>
                </c:pt>
                <c:pt idx="74">
                  <c:v>4.04</c:v>
                </c:pt>
                <c:pt idx="75">
                  <c:v>4.0199999999999996</c:v>
                </c:pt>
                <c:pt idx="76">
                  <c:v>3.89</c:v>
                </c:pt>
                <c:pt idx="77">
                  <c:v>4.01</c:v>
                </c:pt>
                <c:pt idx="78">
                  <c:v>3.97</c:v>
                </c:pt>
                <c:pt idx="79">
                  <c:v>4.03</c:v>
                </c:pt>
                <c:pt idx="80">
                  <c:v>4.29</c:v>
                </c:pt>
                <c:pt idx="81">
                  <c:v>4.09</c:v>
                </c:pt>
                <c:pt idx="82">
                  <c:v>4.17</c:v>
                </c:pt>
                <c:pt idx="83">
                  <c:v>3.91</c:v>
                </c:pt>
                <c:pt idx="84">
                  <c:v>3.91</c:v>
                </c:pt>
                <c:pt idx="85">
                  <c:v>4.24</c:v>
                </c:pt>
                <c:pt idx="86">
                  <c:v>4.03</c:v>
                </c:pt>
                <c:pt idx="87">
                  <c:v>4.1900000000000004</c:v>
                </c:pt>
                <c:pt idx="88">
                  <c:v>4.01</c:v>
                </c:pt>
                <c:pt idx="89">
                  <c:v>4.0999999999999996</c:v>
                </c:pt>
                <c:pt idx="90">
                  <c:v>4.04</c:v>
                </c:pt>
                <c:pt idx="91">
                  <c:v>4.1500000000000004</c:v>
                </c:pt>
                <c:pt idx="92">
                  <c:v>3.9</c:v>
                </c:pt>
                <c:pt idx="93">
                  <c:v>4.05</c:v>
                </c:pt>
                <c:pt idx="94">
                  <c:v>4.05</c:v>
                </c:pt>
                <c:pt idx="95">
                  <c:v>4</c:v>
                </c:pt>
                <c:pt idx="96">
                  <c:v>3.95</c:v>
                </c:pt>
                <c:pt idx="97">
                  <c:v>4.21</c:v>
                </c:pt>
                <c:pt idx="98">
                  <c:v>4.08</c:v>
                </c:pt>
                <c:pt idx="99">
                  <c:v>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2-45C7-9371-EAAF0161C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152271"/>
        <c:axId val="1051153231"/>
      </c:scatterChart>
      <c:valAx>
        <c:axId val="105115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1153231"/>
        <c:crosses val="autoZero"/>
        <c:crossBetween val="midCat"/>
      </c:valAx>
      <c:valAx>
        <c:axId val="105115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115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'Tempi di caduta (20 cm)'!$A$1:$F$1</c15:sqref>
                  </c15:fullRef>
                </c:ext>
              </c:extLst>
              <c:f>'Tempi di caduta (20 cm)'!$B$1:$F$1</c:f>
              <c:strCache>
                <c:ptCount val="5"/>
                <c:pt idx="0">
                  <c:v>2mm</c:v>
                </c:pt>
                <c:pt idx="1">
                  <c:v>3mm</c:v>
                </c:pt>
                <c:pt idx="2">
                  <c:v>4mm</c:v>
                </c:pt>
                <c:pt idx="3">
                  <c:v>5mm</c:v>
                </c:pt>
                <c:pt idx="4">
                  <c:v>6mm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'Tempi di caduta (20 cm)'!$A$15:$F$15</c15:sqref>
                  </c15:fullRef>
                </c:ext>
              </c:extLst>
              <c:f>'Tempi di caduta (20 cm)'!$B$15:$F$15</c:f>
              <c:numCache>
                <c:formatCode>0.00</c:formatCode>
                <c:ptCount val="5"/>
                <c:pt idx="0">
                  <c:v>11.798017932987257</c:v>
                </c:pt>
                <c:pt idx="1">
                  <c:v>25.141420490257698</c:v>
                </c:pt>
                <c:pt idx="2">
                  <c:v>42.680324370465215</c:v>
                </c:pt>
                <c:pt idx="3">
                  <c:v>65.423617926071316</c:v>
                </c:pt>
                <c:pt idx="4">
                  <c:v>84.54673555659933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2E-45EE-9224-E12BA14ED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188853"/>
        <c:axId val="1092789128"/>
      </c:lineChart>
      <c:catAx>
        <c:axId val="1518188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092789128"/>
        <c:crosses val="autoZero"/>
        <c:auto val="1"/>
        <c:lblAlgn val="ctr"/>
        <c:lblOffset val="100"/>
        <c:noMultiLvlLbl val="1"/>
      </c:catAx>
      <c:valAx>
        <c:axId val="1092789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it-IT" b="0">
                    <a:solidFill>
                      <a:srgbClr val="000000"/>
                    </a:solidFill>
                    <a:latin typeface="+mn-lt"/>
                  </a:rPr>
                  <a:t>Velocità (mm/s)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5181888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Tempi di caduta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Tempi di caduta</a:t>
          </a:r>
        </a:p>
      </cx:txPr>
    </cx:title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clusteredColumn" uniqueId="{7AFE2739-975A-4C3D-B121-80892D8BFBEE}">
          <cx:spPr>
            <a:ln w="6350">
              <a:solidFill>
                <a:schemeClr val="tx1"/>
              </a:solidFill>
            </a:ln>
          </cx:spPr>
          <cx:dataLabels pos="inEnd">
            <cx:visibility seriesName="0" categoryName="0" value="1"/>
          </cx:dataLabels>
          <cx:dataId val="0"/>
          <cx:layoutPr>
            <cx:binning intervalClosed="r">
              <cx:binSize val="0.21000000000000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799492</xdr:colOff>
      <xdr:row>5</xdr:row>
      <xdr:rowOff>122711</xdr:rowOff>
    </xdr:from>
    <xdr:to>
      <xdr:col>7</xdr:col>
      <xdr:colOff>601527</xdr:colOff>
      <xdr:row>19</xdr:row>
      <xdr:rowOff>69169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8EBF340E-BE34-E8FF-803A-0A73A83167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8455" y="970436"/>
              <a:ext cx="5150322" cy="2213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7</xdr:col>
      <xdr:colOff>877662</xdr:colOff>
      <xdr:row>5</xdr:row>
      <xdr:rowOff>90168</xdr:rowOff>
    </xdr:from>
    <xdr:to>
      <xdr:col>13</xdr:col>
      <xdr:colOff>60498</xdr:colOff>
      <xdr:row>22</xdr:row>
      <xdr:rowOff>34565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9515FAE-25A6-7561-EC76-640B706C0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1</xdr:row>
      <xdr:rowOff>85725</xdr:rowOff>
    </xdr:from>
    <xdr:ext cx="4210050" cy="2609850"/>
    <xdr:graphicFrame macro="">
      <xdr:nvGraphicFramePr>
        <xdr:cNvPr id="2" name="Chart 2" title="Gra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7"/>
  <sheetViews>
    <sheetView topLeftCell="C1" workbookViewId="0">
      <selection activeCell="L6" sqref="L6"/>
    </sheetView>
  </sheetViews>
  <sheetFormatPr defaultColWidth="12.59765625" defaultRowHeight="15.75" customHeight="1" x14ac:dyDescent="0.35"/>
  <cols>
    <col min="1" max="1" width="17.46484375" customWidth="1"/>
    <col min="2" max="2" width="16.59765625" customWidth="1"/>
    <col min="3" max="3" width="15.86328125" customWidth="1"/>
    <col min="4" max="4" width="15.73046875" customWidth="1"/>
    <col min="5" max="5" width="16.59765625" customWidth="1"/>
    <col min="6" max="6" width="14.3984375" customWidth="1"/>
    <col min="7" max="7" width="18.3984375" customWidth="1"/>
    <col min="8" max="8" width="22.1328125" customWidth="1"/>
    <col min="9" max="9" width="17.1328125" customWidth="1"/>
    <col min="10" max="10" width="17.3984375" customWidth="1"/>
    <col min="11" max="11" width="14.86328125" customWidth="1"/>
    <col min="12" max="12" width="15" customWidth="1"/>
  </cols>
  <sheetData>
    <row r="1" spans="1:13" x14ac:dyDescent="0.3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3" x14ac:dyDescent="0.35">
      <c r="B2" s="4">
        <v>2.99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3</v>
      </c>
      <c r="I2" s="5">
        <v>2.99</v>
      </c>
      <c r="J2" s="5">
        <v>3</v>
      </c>
      <c r="K2" s="5">
        <v>3</v>
      </c>
      <c r="L2" s="6"/>
      <c r="M2" s="5"/>
    </row>
    <row r="3" spans="1:13" x14ac:dyDescent="0.35">
      <c r="B3" s="4">
        <v>3</v>
      </c>
      <c r="C3" s="5">
        <v>3</v>
      </c>
      <c r="D3" s="5">
        <v>3</v>
      </c>
      <c r="E3" s="5">
        <v>3</v>
      </c>
      <c r="F3" s="5">
        <v>3</v>
      </c>
      <c r="G3" s="5">
        <v>2.99</v>
      </c>
      <c r="H3" s="5">
        <v>3</v>
      </c>
      <c r="I3" s="5">
        <v>2.99</v>
      </c>
      <c r="J3" s="5">
        <v>2.99</v>
      </c>
      <c r="K3" s="5">
        <v>3</v>
      </c>
      <c r="L3" s="6"/>
      <c r="M3" s="5"/>
    </row>
    <row r="4" spans="1:13" x14ac:dyDescent="0.35">
      <c r="B4" s="4">
        <v>2.99</v>
      </c>
      <c r="C4" s="5">
        <v>2.99</v>
      </c>
      <c r="D4" s="5">
        <v>2.99</v>
      </c>
      <c r="E4" s="5">
        <v>3</v>
      </c>
      <c r="F4" s="5">
        <v>3</v>
      </c>
      <c r="G4" s="5">
        <v>3</v>
      </c>
      <c r="H4" s="5">
        <v>2.99</v>
      </c>
      <c r="I4" s="5">
        <v>2.99</v>
      </c>
      <c r="J4" s="5">
        <v>3.01</v>
      </c>
      <c r="K4" s="5">
        <v>2.99</v>
      </c>
      <c r="L4" s="6"/>
      <c r="M4" s="5"/>
    </row>
    <row r="5" spans="1:13" x14ac:dyDescent="0.35">
      <c r="A5" s="1" t="s">
        <v>11</v>
      </c>
      <c r="B5" s="7">
        <f t="shared" ref="B5:K5" si="0">AVERAGE(B2:B4)</f>
        <v>2.9933333333333336</v>
      </c>
      <c r="C5" s="8">
        <f t="shared" si="0"/>
        <v>2.9966666666666666</v>
      </c>
      <c r="D5" s="8">
        <f t="shared" si="0"/>
        <v>2.9966666666666666</v>
      </c>
      <c r="E5" s="8">
        <f t="shared" si="0"/>
        <v>3</v>
      </c>
      <c r="F5" s="8">
        <f t="shared" si="0"/>
        <v>3</v>
      </c>
      <c r="G5" s="8">
        <f t="shared" si="0"/>
        <v>2.9966666666666666</v>
      </c>
      <c r="H5" s="8">
        <f t="shared" si="0"/>
        <v>2.9966666666666666</v>
      </c>
      <c r="I5" s="8">
        <f t="shared" si="0"/>
        <v>2.99</v>
      </c>
      <c r="J5" s="8">
        <f t="shared" si="0"/>
        <v>3</v>
      </c>
      <c r="K5" s="8">
        <f t="shared" si="0"/>
        <v>2.9966666666666666</v>
      </c>
      <c r="L5" s="17">
        <f>AVERAGE(B5:K5)</f>
        <v>2.9966666666666666</v>
      </c>
      <c r="M5" s="5"/>
    </row>
    <row r="6" spans="1:13" x14ac:dyDescent="0.35">
      <c r="A6" s="9" t="s">
        <v>12</v>
      </c>
      <c r="B6" s="10">
        <f t="shared" ref="B6:K6" si="1">STDEV(B2:B4)</f>
        <v>5.7735026918961348E-3</v>
      </c>
      <c r="C6" s="11">
        <f t="shared" si="1"/>
        <v>5.7735026918961348E-3</v>
      </c>
      <c r="D6" s="11">
        <f t="shared" si="1"/>
        <v>5.7735026918961348E-3</v>
      </c>
      <c r="E6" s="11">
        <f t="shared" si="1"/>
        <v>0</v>
      </c>
      <c r="F6" s="11">
        <f t="shared" si="1"/>
        <v>0</v>
      </c>
      <c r="G6" s="11">
        <f t="shared" si="1"/>
        <v>5.7735026918961348E-3</v>
      </c>
      <c r="H6" s="11">
        <f t="shared" si="1"/>
        <v>5.7735026918961348E-3</v>
      </c>
      <c r="I6" s="11">
        <f t="shared" si="1"/>
        <v>0</v>
      </c>
      <c r="J6" s="11">
        <f t="shared" si="1"/>
        <v>9.9999999999997868E-3</v>
      </c>
      <c r="K6" s="11">
        <f t="shared" si="1"/>
        <v>5.7735026918961348E-3</v>
      </c>
      <c r="L6" s="36">
        <f>STDEV(B5:K5)</f>
        <v>3.1426968052734598E-3</v>
      </c>
      <c r="M6" s="5"/>
    </row>
    <row r="7" spans="1:13" x14ac:dyDescent="0.35">
      <c r="B7" s="12"/>
      <c r="C7" s="12"/>
      <c r="D7" s="12"/>
      <c r="E7" s="12"/>
      <c r="F7" s="12"/>
      <c r="G7" s="12"/>
      <c r="H7" s="12"/>
      <c r="J7" s="12"/>
      <c r="K7" s="13"/>
    </row>
    <row r="8" spans="1:13" x14ac:dyDescent="0.35">
      <c r="B8" s="14"/>
      <c r="C8" s="14"/>
      <c r="D8" s="14"/>
      <c r="E8" s="14"/>
      <c r="F8" s="14"/>
      <c r="G8" s="14"/>
      <c r="H8" s="14"/>
    </row>
    <row r="9" spans="1:13" x14ac:dyDescent="0.35">
      <c r="B9" s="14"/>
      <c r="C9" s="14"/>
      <c r="D9" s="14"/>
      <c r="E9" s="14"/>
      <c r="F9" s="14"/>
      <c r="G9" s="14"/>
      <c r="H9" s="14"/>
    </row>
    <row r="10" spans="1:13" x14ac:dyDescent="0.35">
      <c r="B10" s="14"/>
      <c r="C10" s="14"/>
      <c r="D10" s="14"/>
      <c r="E10" s="14"/>
      <c r="F10" s="14"/>
      <c r="G10" s="14"/>
      <c r="H10" s="14"/>
    </row>
    <row r="11" spans="1:13" x14ac:dyDescent="0.35">
      <c r="A11" s="12"/>
      <c r="B11" s="14"/>
      <c r="C11" s="14"/>
      <c r="D11" s="14"/>
      <c r="E11" s="14"/>
      <c r="F11" s="14"/>
      <c r="G11" s="14"/>
      <c r="H11" s="14"/>
    </row>
    <row r="12" spans="1:13" x14ac:dyDescent="0.35">
      <c r="A12" s="12"/>
      <c r="B12" s="14"/>
      <c r="C12" s="14"/>
      <c r="D12" s="14"/>
      <c r="E12" s="14"/>
      <c r="F12" s="14"/>
      <c r="G12" s="14"/>
      <c r="H12" s="14"/>
    </row>
    <row r="14" spans="1:13" x14ac:dyDescent="0.35">
      <c r="B14" s="12"/>
      <c r="F14" s="12"/>
      <c r="G14" s="12"/>
      <c r="H14" s="12"/>
      <c r="I14" s="12"/>
      <c r="J14" s="12"/>
    </row>
    <row r="15" spans="1:13" x14ac:dyDescent="0.35">
      <c r="A15" s="12"/>
      <c r="B15" s="5"/>
      <c r="E15" s="12"/>
      <c r="F15" s="5"/>
      <c r="G15" s="5"/>
      <c r="H15" s="5"/>
      <c r="I15" s="5"/>
      <c r="J15" s="5"/>
    </row>
    <row r="16" spans="1:13" x14ac:dyDescent="0.35">
      <c r="A16" s="12"/>
      <c r="B16" s="5"/>
      <c r="E16" s="12"/>
      <c r="F16" s="5"/>
      <c r="G16" s="5"/>
      <c r="H16" s="5"/>
      <c r="I16" s="5"/>
      <c r="J16" s="5"/>
    </row>
    <row r="17" spans="1:10" x14ac:dyDescent="0.35">
      <c r="A17" s="12"/>
      <c r="B17" s="5"/>
      <c r="E17" s="12"/>
      <c r="F17" s="5"/>
      <c r="G17" s="5"/>
      <c r="H17" s="5"/>
      <c r="I17" s="5"/>
      <c r="J17" s="5"/>
    </row>
    <row r="18" spans="1:10" x14ac:dyDescent="0.35">
      <c r="A18" s="12"/>
      <c r="B18" s="5"/>
      <c r="E18" s="12"/>
      <c r="F18" s="5"/>
      <c r="G18" s="5"/>
      <c r="H18" s="5"/>
      <c r="I18" s="5"/>
      <c r="J18" s="5"/>
    </row>
    <row r="19" spans="1:10" x14ac:dyDescent="0.35">
      <c r="A19" s="12"/>
      <c r="B19" s="5"/>
      <c r="E19" s="12"/>
      <c r="F19" s="5"/>
      <c r="G19" s="5"/>
      <c r="H19" s="5"/>
      <c r="I19" s="5"/>
      <c r="J19" s="5"/>
    </row>
    <row r="20" spans="1:10" x14ac:dyDescent="0.35">
      <c r="A20" s="12"/>
      <c r="B20" s="5"/>
      <c r="E20" s="12"/>
      <c r="F20" s="5"/>
      <c r="G20" s="5"/>
      <c r="H20" s="5"/>
      <c r="I20" s="5"/>
      <c r="J20" s="5"/>
    </row>
    <row r="21" spans="1:10" x14ac:dyDescent="0.35">
      <c r="A21" s="12"/>
      <c r="B21" s="5"/>
      <c r="E21" s="12"/>
      <c r="F21" s="5"/>
      <c r="G21" s="5"/>
      <c r="H21" s="5"/>
      <c r="I21" s="5"/>
      <c r="J21" s="5"/>
    </row>
    <row r="22" spans="1:10" x14ac:dyDescent="0.35">
      <c r="A22" s="12"/>
      <c r="B22" s="5"/>
      <c r="E22" s="12"/>
      <c r="F22" s="5"/>
      <c r="G22" s="5"/>
      <c r="H22" s="5"/>
      <c r="I22" s="5"/>
      <c r="J22" s="5"/>
    </row>
    <row r="23" spans="1:10" x14ac:dyDescent="0.35">
      <c r="A23" s="12"/>
      <c r="B23" s="5"/>
      <c r="E23" s="12"/>
      <c r="F23" s="5"/>
      <c r="G23" s="5"/>
      <c r="H23" s="5"/>
      <c r="I23" s="5"/>
      <c r="J23" s="5"/>
    </row>
    <row r="24" spans="1:10" x14ac:dyDescent="0.35">
      <c r="A24" s="12"/>
      <c r="B24" s="5"/>
      <c r="E24" s="12"/>
      <c r="F24" s="5"/>
      <c r="G24" s="5"/>
      <c r="H24" s="5"/>
      <c r="I24" s="5"/>
      <c r="J24" s="5"/>
    </row>
    <row r="25" spans="1:10" x14ac:dyDescent="0.35">
      <c r="A25" s="12"/>
      <c r="B25" s="5"/>
      <c r="E25" s="12"/>
      <c r="F25" s="5"/>
      <c r="G25" s="5"/>
      <c r="H25" s="5"/>
      <c r="I25" s="5"/>
      <c r="J25" s="5"/>
    </row>
    <row r="26" spans="1:10" x14ac:dyDescent="0.35">
      <c r="A26" s="12"/>
      <c r="B26" s="5"/>
      <c r="F26" s="5"/>
      <c r="G26" s="5"/>
      <c r="H26" s="5"/>
      <c r="I26" s="5"/>
      <c r="J26" s="5"/>
    </row>
    <row r="27" spans="1:10" x14ac:dyDescent="0.35">
      <c r="A27" s="12"/>
      <c r="B27" s="5"/>
      <c r="F27" s="5"/>
      <c r="G27" s="5"/>
      <c r="H27" s="5"/>
      <c r="I27" s="5"/>
      <c r="J27" s="5"/>
    </row>
    <row r="28" spans="1:10" x14ac:dyDescent="0.35">
      <c r="A28" s="12"/>
      <c r="B28" s="5"/>
      <c r="F28" s="5"/>
      <c r="G28" s="5"/>
      <c r="H28" s="5"/>
      <c r="I28" s="5"/>
      <c r="J28" s="5"/>
    </row>
    <row r="29" spans="1:10" x14ac:dyDescent="0.35">
      <c r="A29" s="12"/>
      <c r="B29" s="5"/>
      <c r="F29" s="5"/>
      <c r="G29" s="5"/>
      <c r="H29" s="5"/>
      <c r="I29" s="5"/>
      <c r="J29" s="5"/>
    </row>
    <row r="30" spans="1:10" x14ac:dyDescent="0.35">
      <c r="A30" s="12"/>
      <c r="B30" s="5"/>
    </row>
    <row r="31" spans="1:10" x14ac:dyDescent="0.35">
      <c r="A31" s="12"/>
      <c r="B31" s="5"/>
    </row>
    <row r="32" spans="1:10" x14ac:dyDescent="0.35">
      <c r="A32" s="12"/>
      <c r="B32" s="5"/>
    </row>
    <row r="33" spans="1:2" x14ac:dyDescent="0.35">
      <c r="A33" s="12"/>
      <c r="B33" s="5"/>
    </row>
    <row r="34" spans="1:2" x14ac:dyDescent="0.35">
      <c r="A34" s="12"/>
      <c r="B34" s="5"/>
    </row>
    <row r="35" spans="1:2" x14ac:dyDescent="0.35">
      <c r="A35" s="12"/>
      <c r="B35" s="5"/>
    </row>
    <row r="36" spans="1:2" x14ac:dyDescent="0.35">
      <c r="A36" s="12"/>
      <c r="B36" s="5"/>
    </row>
    <row r="37" spans="1:2" x14ac:dyDescent="0.35">
      <c r="A37" s="12"/>
      <c r="B37" s="5"/>
    </row>
    <row r="38" spans="1:2" x14ac:dyDescent="0.35">
      <c r="A38" s="12"/>
      <c r="B38" s="5"/>
    </row>
    <row r="39" spans="1:2" x14ac:dyDescent="0.35">
      <c r="A39" s="12"/>
      <c r="B39" s="5"/>
    </row>
    <row r="40" spans="1:2" x14ac:dyDescent="0.35">
      <c r="A40" s="12"/>
      <c r="B40" s="5"/>
    </row>
    <row r="41" spans="1:2" x14ac:dyDescent="0.35">
      <c r="A41" s="12"/>
      <c r="B41" s="5"/>
    </row>
    <row r="42" spans="1:2" x14ac:dyDescent="0.35">
      <c r="A42" s="12"/>
      <c r="B42" s="5"/>
    </row>
    <row r="43" spans="1:2" x14ac:dyDescent="0.35">
      <c r="A43" s="12"/>
      <c r="B43" s="5"/>
    </row>
    <row r="44" spans="1:2" x14ac:dyDescent="0.35">
      <c r="A44" s="12"/>
      <c r="B44" s="5"/>
    </row>
    <row r="45" spans="1:2" x14ac:dyDescent="0.35">
      <c r="A45" s="12"/>
      <c r="B45" s="5"/>
    </row>
    <row r="46" spans="1:2" x14ac:dyDescent="0.35">
      <c r="A46" s="12"/>
      <c r="B46" s="5"/>
    </row>
    <row r="47" spans="1:2" x14ac:dyDescent="0.35">
      <c r="A47" s="12"/>
      <c r="B47" s="5"/>
    </row>
    <row r="48" spans="1:2" x14ac:dyDescent="0.35">
      <c r="A48" s="12"/>
      <c r="B48" s="5"/>
    </row>
    <row r="49" spans="1:2" x14ac:dyDescent="0.35">
      <c r="A49" s="12"/>
      <c r="B49" s="5"/>
    </row>
    <row r="50" spans="1:2" x14ac:dyDescent="0.35">
      <c r="A50" s="12"/>
      <c r="B50" s="5"/>
    </row>
    <row r="51" spans="1:2" x14ac:dyDescent="0.35">
      <c r="A51" s="12"/>
      <c r="B51" s="5"/>
    </row>
    <row r="52" spans="1:2" x14ac:dyDescent="0.35">
      <c r="A52" s="12"/>
      <c r="B52" s="5"/>
    </row>
    <row r="53" spans="1:2" x14ac:dyDescent="0.35">
      <c r="A53" s="12"/>
      <c r="B53" s="5"/>
    </row>
    <row r="54" spans="1:2" x14ac:dyDescent="0.35">
      <c r="A54" s="12"/>
      <c r="B54" s="5"/>
    </row>
    <row r="55" spans="1:2" x14ac:dyDescent="0.35">
      <c r="A55" s="12"/>
      <c r="B55" s="5"/>
    </row>
    <row r="56" spans="1:2" x14ac:dyDescent="0.35">
      <c r="A56" s="12"/>
      <c r="B56" s="5"/>
    </row>
    <row r="57" spans="1:2" x14ac:dyDescent="0.35">
      <c r="A57" s="12"/>
      <c r="B57" s="5"/>
    </row>
    <row r="58" spans="1:2" x14ac:dyDescent="0.35">
      <c r="A58" s="12"/>
      <c r="B58" s="5"/>
    </row>
    <row r="59" spans="1:2" x14ac:dyDescent="0.35">
      <c r="A59" s="12"/>
      <c r="B59" s="5"/>
    </row>
    <row r="60" spans="1:2" x14ac:dyDescent="0.35">
      <c r="A60" s="12"/>
      <c r="B60" s="5"/>
    </row>
    <row r="61" spans="1:2" x14ac:dyDescent="0.35">
      <c r="A61" s="12"/>
      <c r="B61" s="5"/>
    </row>
    <row r="62" spans="1:2" x14ac:dyDescent="0.35">
      <c r="A62" s="12"/>
      <c r="B62" s="5"/>
    </row>
    <row r="63" spans="1:2" x14ac:dyDescent="0.35">
      <c r="A63" s="12"/>
      <c r="B63" s="5"/>
    </row>
    <row r="64" spans="1:2" x14ac:dyDescent="0.35">
      <c r="A64" s="12"/>
      <c r="B64" s="5"/>
    </row>
    <row r="65" spans="1:2" x14ac:dyDescent="0.35">
      <c r="A65" s="12"/>
      <c r="B65" s="5"/>
    </row>
    <row r="66" spans="1:2" x14ac:dyDescent="0.35">
      <c r="A66" s="12"/>
      <c r="B66" s="5"/>
    </row>
    <row r="67" spans="1:2" x14ac:dyDescent="0.35">
      <c r="A67" s="12"/>
      <c r="B67" s="5"/>
    </row>
    <row r="68" spans="1:2" x14ac:dyDescent="0.35">
      <c r="A68" s="12"/>
      <c r="B68" s="5"/>
    </row>
    <row r="69" spans="1:2" x14ac:dyDescent="0.35">
      <c r="A69" s="12"/>
      <c r="B69" s="5"/>
    </row>
    <row r="70" spans="1:2" x14ac:dyDescent="0.35">
      <c r="A70" s="12"/>
      <c r="B70" s="5"/>
    </row>
    <row r="71" spans="1:2" x14ac:dyDescent="0.35">
      <c r="A71" s="12"/>
      <c r="B71" s="5"/>
    </row>
    <row r="72" spans="1:2" x14ac:dyDescent="0.35">
      <c r="A72" s="12"/>
      <c r="B72" s="5"/>
    </row>
    <row r="73" spans="1:2" x14ac:dyDescent="0.35">
      <c r="A73" s="12"/>
      <c r="B73" s="5"/>
    </row>
    <row r="74" spans="1:2" x14ac:dyDescent="0.35">
      <c r="A74" s="12"/>
      <c r="B74" s="5"/>
    </row>
    <row r="75" spans="1:2" x14ac:dyDescent="0.35">
      <c r="A75" s="12"/>
      <c r="B75" s="5"/>
    </row>
    <row r="76" spans="1:2" x14ac:dyDescent="0.35">
      <c r="A76" s="12"/>
      <c r="B76" s="5"/>
    </row>
    <row r="77" spans="1:2" x14ac:dyDescent="0.35">
      <c r="A77" s="12"/>
      <c r="B77" s="5"/>
    </row>
    <row r="78" spans="1:2" x14ac:dyDescent="0.35">
      <c r="A78" s="12"/>
      <c r="B78" s="5"/>
    </row>
    <row r="79" spans="1:2" x14ac:dyDescent="0.35">
      <c r="A79" s="12"/>
      <c r="B79" s="5"/>
    </row>
    <row r="80" spans="1:2" x14ac:dyDescent="0.35">
      <c r="A80" s="12"/>
      <c r="B80" s="5"/>
    </row>
    <row r="81" spans="1:2" x14ac:dyDescent="0.35">
      <c r="A81" s="12"/>
      <c r="B81" s="5"/>
    </row>
    <row r="82" spans="1:2" x14ac:dyDescent="0.35">
      <c r="A82" s="12"/>
      <c r="B82" s="5"/>
    </row>
    <row r="83" spans="1:2" x14ac:dyDescent="0.35">
      <c r="A83" s="12"/>
      <c r="B83" s="5"/>
    </row>
    <row r="84" spans="1:2" x14ac:dyDescent="0.35">
      <c r="A84" s="12"/>
      <c r="B84" s="5"/>
    </row>
    <row r="85" spans="1:2" x14ac:dyDescent="0.35">
      <c r="A85" s="12"/>
      <c r="B85" s="5"/>
    </row>
    <row r="86" spans="1:2" x14ac:dyDescent="0.35">
      <c r="A86" s="12"/>
      <c r="B86" s="5"/>
    </row>
    <row r="87" spans="1:2" x14ac:dyDescent="0.35">
      <c r="A87" s="12"/>
      <c r="B87" s="5"/>
    </row>
    <row r="88" spans="1:2" x14ac:dyDescent="0.35">
      <c r="A88" s="12"/>
      <c r="B88" s="5"/>
    </row>
    <row r="89" spans="1:2" x14ac:dyDescent="0.35">
      <c r="A89" s="12"/>
      <c r="B89" s="5"/>
    </row>
    <row r="90" spans="1:2" x14ac:dyDescent="0.35">
      <c r="A90" s="12"/>
      <c r="B90" s="5"/>
    </row>
    <row r="91" spans="1:2" x14ac:dyDescent="0.35">
      <c r="A91" s="12"/>
      <c r="B91" s="5"/>
    </row>
    <row r="92" spans="1:2" x14ac:dyDescent="0.35">
      <c r="A92" s="12"/>
      <c r="B92" s="5"/>
    </row>
    <row r="93" spans="1:2" x14ac:dyDescent="0.35">
      <c r="A93" s="12"/>
      <c r="B93" s="5"/>
    </row>
    <row r="94" spans="1:2" x14ac:dyDescent="0.35">
      <c r="A94" s="12"/>
      <c r="B94" s="5"/>
    </row>
    <row r="95" spans="1:2" x14ac:dyDescent="0.35">
      <c r="A95" s="12"/>
      <c r="B95" s="5"/>
    </row>
    <row r="96" spans="1:2" x14ac:dyDescent="0.35">
      <c r="A96" s="12"/>
      <c r="B96" s="5"/>
    </row>
    <row r="97" spans="1:2" x14ac:dyDescent="0.35">
      <c r="A97" s="12"/>
      <c r="B97" s="5"/>
    </row>
    <row r="98" spans="1:2" x14ac:dyDescent="0.35">
      <c r="A98" s="12"/>
      <c r="B98" s="5"/>
    </row>
    <row r="99" spans="1:2" x14ac:dyDescent="0.35">
      <c r="A99" s="12"/>
      <c r="B99" s="5"/>
    </row>
    <row r="100" spans="1:2" x14ac:dyDescent="0.35">
      <c r="A100" s="12"/>
      <c r="B100" s="5"/>
    </row>
    <row r="101" spans="1:2" x14ac:dyDescent="0.35">
      <c r="A101" s="12"/>
      <c r="B101" s="5"/>
    </row>
    <row r="102" spans="1:2" x14ac:dyDescent="0.35">
      <c r="A102" s="12"/>
      <c r="B102" s="5"/>
    </row>
    <row r="103" spans="1:2" x14ac:dyDescent="0.35">
      <c r="A103" s="12"/>
      <c r="B103" s="5"/>
    </row>
    <row r="104" spans="1:2" x14ac:dyDescent="0.35">
      <c r="A104" s="12"/>
      <c r="B104" s="5"/>
    </row>
    <row r="105" spans="1:2" x14ac:dyDescent="0.35">
      <c r="A105" s="12"/>
      <c r="B105" s="5"/>
    </row>
    <row r="106" spans="1:2" x14ac:dyDescent="0.35">
      <c r="A106" s="12"/>
      <c r="B106" s="5"/>
    </row>
    <row r="107" spans="1:2" x14ac:dyDescent="0.35">
      <c r="A107" s="12"/>
      <c r="B107" s="5"/>
    </row>
    <row r="108" spans="1:2" x14ac:dyDescent="0.35">
      <c r="A108" s="12"/>
      <c r="B108" s="5"/>
    </row>
    <row r="109" spans="1:2" x14ac:dyDescent="0.35">
      <c r="A109" s="12"/>
      <c r="B109" s="5"/>
    </row>
    <row r="110" spans="1:2" x14ac:dyDescent="0.35">
      <c r="A110" s="12"/>
      <c r="B110" s="5"/>
    </row>
    <row r="111" spans="1:2" x14ac:dyDescent="0.35">
      <c r="A111" s="12"/>
      <c r="B111" s="5"/>
    </row>
    <row r="112" spans="1:2" x14ac:dyDescent="0.35">
      <c r="A112" s="12"/>
      <c r="B112" s="5"/>
    </row>
    <row r="113" spans="1:2" x14ac:dyDescent="0.35">
      <c r="A113" s="12"/>
      <c r="B113" s="5"/>
    </row>
    <row r="114" spans="1:2" x14ac:dyDescent="0.35">
      <c r="A114" s="12"/>
      <c r="B114" s="5"/>
    </row>
    <row r="115" spans="1:2" x14ac:dyDescent="0.35">
      <c r="A115" s="12"/>
      <c r="B115" s="5"/>
    </row>
    <row r="116" spans="1:2" x14ac:dyDescent="0.35">
      <c r="A116" s="12"/>
      <c r="B116" s="5"/>
    </row>
    <row r="117" spans="1:2" x14ac:dyDescent="0.35">
      <c r="A117" s="12"/>
      <c r="B1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6"/>
  <sheetViews>
    <sheetView workbookViewId="0">
      <selection activeCell="G6" sqref="G6"/>
    </sheetView>
  </sheetViews>
  <sheetFormatPr defaultColWidth="12.59765625" defaultRowHeight="15.75" customHeight="1" x14ac:dyDescent="0.35"/>
  <cols>
    <col min="1" max="1" width="17.3984375" customWidth="1"/>
    <col min="8" max="8" width="24.86328125" customWidth="1"/>
  </cols>
  <sheetData>
    <row r="1" spans="1:8" x14ac:dyDescent="0.35">
      <c r="B1" s="15" t="s">
        <v>13</v>
      </c>
      <c r="C1" s="15" t="s">
        <v>14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</row>
    <row r="2" spans="1:8" x14ac:dyDescent="0.35">
      <c r="A2" t="s">
        <v>30</v>
      </c>
      <c r="B2" s="14">
        <v>0.1101</v>
      </c>
      <c r="C2" s="14">
        <v>0.1101</v>
      </c>
      <c r="D2" s="14">
        <v>0.11020000000000001</v>
      </c>
      <c r="E2" s="14">
        <v>0.11</v>
      </c>
      <c r="F2" s="14">
        <v>0.1099</v>
      </c>
      <c r="G2" s="14">
        <v>1.1008</v>
      </c>
      <c r="H2" s="14">
        <f t="shared" ref="H2:H4" si="0">G2/10</f>
        <v>0.11008</v>
      </c>
    </row>
    <row r="3" spans="1:8" x14ac:dyDescent="0.35">
      <c r="A3" t="s">
        <v>31</v>
      </c>
      <c r="B3" s="14">
        <v>0.11020000000000001</v>
      </c>
      <c r="C3" s="14">
        <v>0.11020000000000001</v>
      </c>
      <c r="D3" s="14">
        <v>0.1101</v>
      </c>
      <c r="E3" s="14">
        <v>0.1101</v>
      </c>
      <c r="F3" s="14">
        <v>0.10979999999999999</v>
      </c>
      <c r="G3" s="14">
        <v>1.1003000000000001</v>
      </c>
      <c r="H3" s="14">
        <f t="shared" si="0"/>
        <v>0.11003</v>
      </c>
    </row>
    <row r="4" spans="1:8" x14ac:dyDescent="0.35">
      <c r="A4" t="s">
        <v>32</v>
      </c>
      <c r="B4" s="14">
        <v>0.1101</v>
      </c>
      <c r="C4" s="14">
        <v>0.1101</v>
      </c>
      <c r="D4" s="14">
        <v>0.1101</v>
      </c>
      <c r="E4" s="14">
        <v>0.1103</v>
      </c>
      <c r="F4" s="14">
        <v>0.1101</v>
      </c>
      <c r="G4" s="14">
        <v>1.1002000000000001</v>
      </c>
      <c r="H4" s="14">
        <f t="shared" si="0"/>
        <v>0.11002000000000001</v>
      </c>
    </row>
    <row r="5" spans="1:8" x14ac:dyDescent="0.35">
      <c r="A5" s="1" t="s">
        <v>11</v>
      </c>
      <c r="B5" s="16">
        <f t="shared" ref="B5:G5" si="1">AVERAGE(B2:B4)</f>
        <v>0.11013333333333335</v>
      </c>
      <c r="C5" s="16">
        <f t="shared" si="1"/>
        <v>0.11013333333333335</v>
      </c>
      <c r="D5" s="16">
        <f t="shared" si="1"/>
        <v>0.11013333333333335</v>
      </c>
      <c r="E5" s="16">
        <f t="shared" si="1"/>
        <v>0.11013333333333335</v>
      </c>
      <c r="F5" s="16">
        <f t="shared" si="1"/>
        <v>0.10993333333333333</v>
      </c>
      <c r="G5" s="16">
        <f t="shared" si="1"/>
        <v>1.1004333333333334</v>
      </c>
      <c r="H5" s="17">
        <f>AVERAGE(H3:H4)</f>
        <v>0.11002500000000001</v>
      </c>
    </row>
    <row r="6" spans="1:8" x14ac:dyDescent="0.35">
      <c r="A6" s="9" t="s">
        <v>12</v>
      </c>
      <c r="B6" s="18">
        <f>_xlfn.STDEV.S(B2:B4)</f>
        <v>5.7735026918964232E-5</v>
      </c>
      <c r="C6" s="18">
        <f t="shared" ref="C6:F6" si="2">_xlfn.STDEV.S(C2:C4)</f>
        <v>5.7735026918964232E-5</v>
      </c>
      <c r="D6" s="18">
        <f t="shared" si="2"/>
        <v>5.7735026918964232E-5</v>
      </c>
      <c r="E6" s="18">
        <f t="shared" si="2"/>
        <v>1.5275252316519148E-4</v>
      </c>
      <c r="F6" s="18">
        <f t="shared" si="2"/>
        <v>1.5275252316519905E-4</v>
      </c>
      <c r="G6" s="18">
        <f>_xlfn.STDEV.S(G2:G4)</f>
        <v>3.2145502536639643E-4</v>
      </c>
      <c r="H6" s="32">
        <f>_xlfn.STDEV.S(H2:H4)</f>
        <v>3.2145502536638636E-5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6"/>
  <sheetViews>
    <sheetView tabSelected="1" topLeftCell="A90" zoomScale="133" zoomScaleNormal="77" workbookViewId="0">
      <selection activeCell="E108" sqref="E108"/>
    </sheetView>
  </sheetViews>
  <sheetFormatPr defaultColWidth="12.59765625" defaultRowHeight="15.75" customHeight="1" x14ac:dyDescent="0.35"/>
  <cols>
    <col min="1" max="1" width="26.6640625" customWidth="1"/>
    <col min="2" max="2" width="17.1328125" customWidth="1"/>
    <col min="3" max="3" width="16.3984375" customWidth="1"/>
    <col min="4" max="4" width="20.6640625" customWidth="1"/>
  </cols>
  <sheetData>
    <row r="1" spans="1:4" ht="15.75" customHeight="1" x14ac:dyDescent="0.35">
      <c r="A1" s="34"/>
      <c r="B1" s="19" t="s">
        <v>20</v>
      </c>
      <c r="D1" s="12"/>
    </row>
    <row r="2" spans="1:4" ht="12.75" x14ac:dyDescent="0.35">
      <c r="A2" s="20">
        <v>1</v>
      </c>
      <c r="B2" s="21">
        <v>4.09</v>
      </c>
      <c r="D2" s="12"/>
    </row>
    <row r="3" spans="1:4" ht="12.75" x14ac:dyDescent="0.35">
      <c r="A3" s="20">
        <v>2</v>
      </c>
      <c r="B3" s="21">
        <v>4.1500000000000004</v>
      </c>
      <c r="D3" s="12"/>
    </row>
    <row r="4" spans="1:4" ht="12.75" x14ac:dyDescent="0.35">
      <c r="A4" s="20">
        <v>3</v>
      </c>
      <c r="B4" s="21">
        <v>3.86</v>
      </c>
    </row>
    <row r="5" spans="1:4" ht="12.75" x14ac:dyDescent="0.35">
      <c r="A5" s="20">
        <v>4</v>
      </c>
      <c r="B5" s="21">
        <v>3.92</v>
      </c>
    </row>
    <row r="6" spans="1:4" ht="12.75" x14ac:dyDescent="0.35">
      <c r="A6" s="20">
        <v>5</v>
      </c>
      <c r="B6" s="21">
        <v>4</v>
      </c>
    </row>
    <row r="7" spans="1:4" ht="12.75" x14ac:dyDescent="0.35">
      <c r="A7" s="20">
        <v>6</v>
      </c>
      <c r="B7" s="21">
        <v>3.81</v>
      </c>
    </row>
    <row r="8" spans="1:4" ht="12.75" x14ac:dyDescent="0.35">
      <c r="A8" s="20">
        <v>7</v>
      </c>
      <c r="B8" s="21">
        <v>3.96</v>
      </c>
    </row>
    <row r="9" spans="1:4" ht="12.75" x14ac:dyDescent="0.35">
      <c r="A9" s="20">
        <v>8</v>
      </c>
      <c r="B9" s="21">
        <v>4.1500000000000004</v>
      </c>
    </row>
    <row r="10" spans="1:4" ht="12.75" x14ac:dyDescent="0.35">
      <c r="A10" s="20">
        <v>9</v>
      </c>
      <c r="B10" s="21">
        <v>3.92</v>
      </c>
    </row>
    <row r="11" spans="1:4" ht="12.75" x14ac:dyDescent="0.35">
      <c r="A11" s="20">
        <v>10</v>
      </c>
      <c r="B11" s="21">
        <v>4</v>
      </c>
    </row>
    <row r="12" spans="1:4" ht="12.75" x14ac:dyDescent="0.35">
      <c r="A12" s="20">
        <v>11</v>
      </c>
      <c r="B12" s="21">
        <v>3.93</v>
      </c>
    </row>
    <row r="13" spans="1:4" ht="12.75" x14ac:dyDescent="0.35">
      <c r="A13" s="20">
        <v>12</v>
      </c>
      <c r="B13" s="21">
        <v>3.92</v>
      </c>
    </row>
    <row r="14" spans="1:4" ht="12.75" x14ac:dyDescent="0.35">
      <c r="A14" s="20">
        <v>13</v>
      </c>
      <c r="B14" s="21">
        <v>3.85</v>
      </c>
    </row>
    <row r="15" spans="1:4" ht="12.75" x14ac:dyDescent="0.35">
      <c r="A15" s="20">
        <v>14</v>
      </c>
      <c r="B15" s="21">
        <v>3.71</v>
      </c>
    </row>
    <row r="16" spans="1:4" ht="12.75" x14ac:dyDescent="0.35">
      <c r="A16" s="20">
        <v>15</v>
      </c>
      <c r="B16" s="21">
        <v>3.95</v>
      </c>
    </row>
    <row r="17" spans="1:2" ht="12.75" x14ac:dyDescent="0.35">
      <c r="A17" s="20">
        <v>16</v>
      </c>
      <c r="B17" s="21">
        <v>3.44</v>
      </c>
    </row>
    <row r="18" spans="1:2" ht="12.75" x14ac:dyDescent="0.35">
      <c r="A18" s="20">
        <v>17</v>
      </c>
      <c r="B18" s="21">
        <v>4.1399999999999997</v>
      </c>
    </row>
    <row r="19" spans="1:2" ht="12.75" x14ac:dyDescent="0.35">
      <c r="A19" s="20">
        <v>18</v>
      </c>
      <c r="B19" s="21">
        <v>3.83</v>
      </c>
    </row>
    <row r="20" spans="1:2" ht="12.75" x14ac:dyDescent="0.35">
      <c r="A20" s="20">
        <v>19</v>
      </c>
      <c r="B20" s="21">
        <v>4.1500000000000004</v>
      </c>
    </row>
    <row r="21" spans="1:2" ht="12.75" x14ac:dyDescent="0.35">
      <c r="A21" s="20">
        <v>20</v>
      </c>
      <c r="B21" s="21">
        <v>3.87</v>
      </c>
    </row>
    <row r="22" spans="1:2" ht="12.75" x14ac:dyDescent="0.35">
      <c r="A22" s="20">
        <v>21</v>
      </c>
      <c r="B22" s="21">
        <v>3.78</v>
      </c>
    </row>
    <row r="23" spans="1:2" ht="12.75" x14ac:dyDescent="0.35">
      <c r="A23" s="20">
        <v>22</v>
      </c>
      <c r="B23" s="21">
        <v>4.01</v>
      </c>
    </row>
    <row r="24" spans="1:2" ht="12.75" x14ac:dyDescent="0.35">
      <c r="A24" s="20">
        <v>23</v>
      </c>
      <c r="B24" s="21">
        <v>3.83</v>
      </c>
    </row>
    <row r="25" spans="1:2" ht="12.75" x14ac:dyDescent="0.35">
      <c r="A25" s="20">
        <v>24</v>
      </c>
      <c r="B25" s="21">
        <v>3.75</v>
      </c>
    </row>
    <row r="26" spans="1:2" ht="12.75" x14ac:dyDescent="0.35">
      <c r="A26" s="20">
        <v>25</v>
      </c>
      <c r="B26" s="21">
        <v>3.88</v>
      </c>
    </row>
    <row r="27" spans="1:2" ht="12.75" x14ac:dyDescent="0.35">
      <c r="A27" s="20">
        <v>26</v>
      </c>
      <c r="B27" s="21">
        <v>4.1100000000000003</v>
      </c>
    </row>
    <row r="28" spans="1:2" ht="12.75" x14ac:dyDescent="0.35">
      <c r="A28" s="20">
        <v>27</v>
      </c>
      <c r="B28" s="21">
        <v>4.4800000000000004</v>
      </c>
    </row>
    <row r="29" spans="1:2" ht="12.75" x14ac:dyDescent="0.35">
      <c r="A29" s="20">
        <v>28</v>
      </c>
      <c r="B29" s="21">
        <v>3.91</v>
      </c>
    </row>
    <row r="30" spans="1:2" ht="12.75" x14ac:dyDescent="0.35">
      <c r="A30" s="20">
        <v>29</v>
      </c>
      <c r="B30" s="21">
        <v>4.3499999999999996</v>
      </c>
    </row>
    <row r="31" spans="1:2" ht="12.75" x14ac:dyDescent="0.35">
      <c r="A31" s="20">
        <v>30</v>
      </c>
      <c r="B31" s="21">
        <v>4.04</v>
      </c>
    </row>
    <row r="32" spans="1:2" ht="12.75" x14ac:dyDescent="0.35">
      <c r="A32" s="20">
        <v>31</v>
      </c>
      <c r="B32" s="21">
        <v>3.76</v>
      </c>
    </row>
    <row r="33" spans="1:2" ht="12.75" x14ac:dyDescent="0.35">
      <c r="A33" s="20">
        <v>32</v>
      </c>
      <c r="B33" s="21">
        <v>3.97</v>
      </c>
    </row>
    <row r="34" spans="1:2" ht="12.75" x14ac:dyDescent="0.35">
      <c r="A34" s="20">
        <v>33</v>
      </c>
      <c r="B34" s="21">
        <v>3.85</v>
      </c>
    </row>
    <row r="35" spans="1:2" ht="12.75" x14ac:dyDescent="0.35">
      <c r="A35" s="20">
        <v>34</v>
      </c>
      <c r="B35" s="21">
        <v>3.86</v>
      </c>
    </row>
    <row r="36" spans="1:2" ht="12.75" x14ac:dyDescent="0.35">
      <c r="A36" s="20">
        <v>35</v>
      </c>
      <c r="B36" s="21">
        <v>3.72</v>
      </c>
    </row>
    <row r="37" spans="1:2" ht="12.75" x14ac:dyDescent="0.35">
      <c r="A37" s="20">
        <v>36</v>
      </c>
      <c r="B37" s="21">
        <v>3.93</v>
      </c>
    </row>
    <row r="38" spans="1:2" ht="12.75" x14ac:dyDescent="0.35">
      <c r="A38" s="20">
        <v>37</v>
      </c>
      <c r="B38" s="21">
        <v>3.72</v>
      </c>
    </row>
    <row r="39" spans="1:2" ht="12.75" x14ac:dyDescent="0.35">
      <c r="A39" s="20">
        <v>38</v>
      </c>
      <c r="B39" s="21">
        <v>3.8</v>
      </c>
    </row>
    <row r="40" spans="1:2" ht="12.75" x14ac:dyDescent="0.35">
      <c r="A40" s="20">
        <v>39</v>
      </c>
      <c r="B40" s="21">
        <v>3.88</v>
      </c>
    </row>
    <row r="41" spans="1:2" ht="12.75" x14ac:dyDescent="0.35">
      <c r="A41" s="20">
        <v>40</v>
      </c>
      <c r="B41" s="21">
        <v>3.82</v>
      </c>
    </row>
    <row r="42" spans="1:2" ht="12.75" x14ac:dyDescent="0.35">
      <c r="A42" s="20">
        <v>41</v>
      </c>
      <c r="B42" s="21">
        <v>3.71</v>
      </c>
    </row>
    <row r="43" spans="1:2" ht="12.75" x14ac:dyDescent="0.35">
      <c r="A43" s="20">
        <v>42</v>
      </c>
      <c r="B43" s="21">
        <v>4.59</v>
      </c>
    </row>
    <row r="44" spans="1:2" ht="12.75" x14ac:dyDescent="0.35">
      <c r="A44" s="20">
        <v>43</v>
      </c>
      <c r="B44" s="21">
        <v>3.71</v>
      </c>
    </row>
    <row r="45" spans="1:2" ht="12.75" x14ac:dyDescent="0.35">
      <c r="A45" s="20">
        <v>44</v>
      </c>
      <c r="B45" s="21">
        <v>3.74</v>
      </c>
    </row>
    <row r="46" spans="1:2" ht="12.75" x14ac:dyDescent="0.35">
      <c r="A46" s="20">
        <v>45</v>
      </c>
      <c r="B46" s="21">
        <v>3.64</v>
      </c>
    </row>
    <row r="47" spans="1:2" ht="12.75" x14ac:dyDescent="0.35">
      <c r="A47" s="20">
        <v>46</v>
      </c>
      <c r="B47" s="21">
        <v>3.71</v>
      </c>
    </row>
    <row r="48" spans="1:2" ht="12.75" x14ac:dyDescent="0.35">
      <c r="A48" s="20">
        <v>47</v>
      </c>
      <c r="B48" s="21">
        <v>3.68</v>
      </c>
    </row>
    <row r="49" spans="1:2" ht="12.75" x14ac:dyDescent="0.35">
      <c r="A49" s="20">
        <v>48</v>
      </c>
      <c r="B49" s="21">
        <v>3.73</v>
      </c>
    </row>
    <row r="50" spans="1:2" ht="12.75" x14ac:dyDescent="0.35">
      <c r="A50" s="20">
        <v>49</v>
      </c>
      <c r="B50" s="21">
        <v>3.96</v>
      </c>
    </row>
    <row r="51" spans="1:2" ht="12.75" x14ac:dyDescent="0.35">
      <c r="A51" s="20">
        <v>50</v>
      </c>
      <c r="B51" s="21">
        <v>3.6</v>
      </c>
    </row>
    <row r="52" spans="1:2" ht="12.75" x14ac:dyDescent="0.35">
      <c r="A52" s="20">
        <v>51</v>
      </c>
      <c r="B52" s="21">
        <v>3.74</v>
      </c>
    </row>
    <row r="53" spans="1:2" ht="12.75" x14ac:dyDescent="0.35">
      <c r="A53" s="20">
        <v>52</v>
      </c>
      <c r="B53" s="21">
        <v>4.0999999999999996</v>
      </c>
    </row>
    <row r="54" spans="1:2" ht="12.75" x14ac:dyDescent="0.35">
      <c r="A54" s="20">
        <v>53</v>
      </c>
      <c r="B54" s="21">
        <v>4.07</v>
      </c>
    </row>
    <row r="55" spans="1:2" ht="12.75" x14ac:dyDescent="0.35">
      <c r="A55" s="20">
        <v>54</v>
      </c>
      <c r="B55" s="21">
        <v>3.89</v>
      </c>
    </row>
    <row r="56" spans="1:2" ht="12.75" x14ac:dyDescent="0.35">
      <c r="A56" s="20">
        <v>55</v>
      </c>
      <c r="B56" s="21">
        <v>3.9</v>
      </c>
    </row>
    <row r="57" spans="1:2" ht="12.75" x14ac:dyDescent="0.35">
      <c r="A57" s="20">
        <v>56</v>
      </c>
      <c r="B57" s="21">
        <v>3.63</v>
      </c>
    </row>
    <row r="58" spans="1:2" ht="12.75" x14ac:dyDescent="0.35">
      <c r="A58" s="20">
        <v>57</v>
      </c>
      <c r="B58" s="21">
        <v>3.7</v>
      </c>
    </row>
    <row r="59" spans="1:2" ht="12.75" x14ac:dyDescent="0.35">
      <c r="A59" s="20">
        <v>58</v>
      </c>
      <c r="B59" s="21">
        <v>3.45</v>
      </c>
    </row>
    <row r="60" spans="1:2" ht="12.75" x14ac:dyDescent="0.35">
      <c r="A60" s="20">
        <v>59</v>
      </c>
      <c r="B60" s="21">
        <v>3.41</v>
      </c>
    </row>
    <row r="61" spans="1:2" ht="12.75" x14ac:dyDescent="0.35">
      <c r="A61" s="20">
        <v>60</v>
      </c>
      <c r="B61" s="21">
        <v>4.1100000000000003</v>
      </c>
    </row>
    <row r="62" spans="1:2" ht="12.75" x14ac:dyDescent="0.35">
      <c r="A62" s="20">
        <v>61</v>
      </c>
      <c r="B62" s="21">
        <v>4.18</v>
      </c>
    </row>
    <row r="63" spans="1:2" ht="12.75" x14ac:dyDescent="0.35">
      <c r="A63" s="20">
        <v>62</v>
      </c>
      <c r="B63" s="21">
        <v>4.33</v>
      </c>
    </row>
    <row r="64" spans="1:2" ht="12.75" x14ac:dyDescent="0.35">
      <c r="A64" s="20">
        <v>63</v>
      </c>
      <c r="B64" s="21">
        <v>4.0599999999999996</v>
      </c>
    </row>
    <row r="65" spans="1:2" ht="12.75" x14ac:dyDescent="0.35">
      <c r="A65" s="20">
        <v>64</v>
      </c>
      <c r="B65" s="21">
        <v>3.95</v>
      </c>
    </row>
    <row r="66" spans="1:2" ht="12.75" x14ac:dyDescent="0.35">
      <c r="A66" s="20">
        <v>65</v>
      </c>
      <c r="B66" s="21">
        <v>3.89</v>
      </c>
    </row>
    <row r="67" spans="1:2" ht="12.75" x14ac:dyDescent="0.35">
      <c r="A67" s="20">
        <v>66</v>
      </c>
      <c r="B67" s="21">
        <v>4.08</v>
      </c>
    </row>
    <row r="68" spans="1:2" ht="12.75" x14ac:dyDescent="0.35">
      <c r="A68" s="20">
        <v>67</v>
      </c>
      <c r="B68" s="21">
        <v>3.84</v>
      </c>
    </row>
    <row r="69" spans="1:2" ht="12.75" x14ac:dyDescent="0.35">
      <c r="A69" s="20">
        <v>68</v>
      </c>
      <c r="B69" s="21">
        <v>4.21</v>
      </c>
    </row>
    <row r="70" spans="1:2" ht="12.75" x14ac:dyDescent="0.35">
      <c r="A70" s="20">
        <v>69</v>
      </c>
      <c r="B70" s="21">
        <v>4.1100000000000003</v>
      </c>
    </row>
    <row r="71" spans="1:2" ht="12.75" x14ac:dyDescent="0.35">
      <c r="A71" s="20">
        <v>70</v>
      </c>
      <c r="B71" s="21">
        <v>4.3499999999999996</v>
      </c>
    </row>
    <row r="72" spans="1:2" ht="12.75" x14ac:dyDescent="0.35">
      <c r="A72" s="20">
        <v>71</v>
      </c>
      <c r="B72" s="21">
        <v>4.08</v>
      </c>
    </row>
    <row r="73" spans="1:2" ht="12.75" x14ac:dyDescent="0.35">
      <c r="A73" s="20">
        <v>72</v>
      </c>
      <c r="B73" s="21">
        <v>3.96</v>
      </c>
    </row>
    <row r="74" spans="1:2" ht="12.75" x14ac:dyDescent="0.35">
      <c r="A74" s="20">
        <v>73</v>
      </c>
      <c r="B74" s="21">
        <v>4.07</v>
      </c>
    </row>
    <row r="75" spans="1:2" ht="12.75" x14ac:dyDescent="0.35">
      <c r="A75" s="20">
        <v>74</v>
      </c>
      <c r="B75" s="21">
        <v>4.1399999999999997</v>
      </c>
    </row>
    <row r="76" spans="1:2" ht="12.75" x14ac:dyDescent="0.35">
      <c r="A76" s="20">
        <v>75</v>
      </c>
      <c r="B76" s="21">
        <v>4.04</v>
      </c>
    </row>
    <row r="77" spans="1:2" ht="12.75" x14ac:dyDescent="0.35">
      <c r="A77" s="20">
        <v>76</v>
      </c>
      <c r="B77" s="21">
        <v>4.0199999999999996</v>
      </c>
    </row>
    <row r="78" spans="1:2" ht="12.75" x14ac:dyDescent="0.35">
      <c r="A78" s="20">
        <v>77</v>
      </c>
      <c r="B78" s="21">
        <v>3.89</v>
      </c>
    </row>
    <row r="79" spans="1:2" ht="12.75" x14ac:dyDescent="0.35">
      <c r="A79" s="20">
        <v>78</v>
      </c>
      <c r="B79" s="21">
        <v>4.01</v>
      </c>
    </row>
    <row r="80" spans="1:2" ht="12.75" x14ac:dyDescent="0.35">
      <c r="A80" s="20">
        <v>79</v>
      </c>
      <c r="B80" s="21">
        <v>3.97</v>
      </c>
    </row>
    <row r="81" spans="1:2" ht="12.75" x14ac:dyDescent="0.35">
      <c r="A81" s="20">
        <v>80</v>
      </c>
      <c r="B81" s="21">
        <v>4.03</v>
      </c>
    </row>
    <row r="82" spans="1:2" ht="12.75" x14ac:dyDescent="0.35">
      <c r="A82" s="20">
        <v>81</v>
      </c>
      <c r="B82" s="21">
        <v>4.29</v>
      </c>
    </row>
    <row r="83" spans="1:2" ht="12.75" x14ac:dyDescent="0.35">
      <c r="A83" s="20">
        <v>82</v>
      </c>
      <c r="B83" s="21">
        <v>4.09</v>
      </c>
    </row>
    <row r="84" spans="1:2" ht="12.75" x14ac:dyDescent="0.35">
      <c r="A84" s="20">
        <v>83</v>
      </c>
      <c r="B84" s="21">
        <v>4.17</v>
      </c>
    </row>
    <row r="85" spans="1:2" ht="12.75" x14ac:dyDescent="0.35">
      <c r="A85" s="20">
        <v>84</v>
      </c>
      <c r="B85" s="21">
        <v>3.91</v>
      </c>
    </row>
    <row r="86" spans="1:2" ht="12.75" x14ac:dyDescent="0.35">
      <c r="A86" s="20">
        <v>85</v>
      </c>
      <c r="B86" s="21">
        <v>3.91</v>
      </c>
    </row>
    <row r="87" spans="1:2" ht="12.75" x14ac:dyDescent="0.35">
      <c r="A87" s="20">
        <v>86</v>
      </c>
      <c r="B87" s="21">
        <v>4.24</v>
      </c>
    </row>
    <row r="88" spans="1:2" ht="12.75" x14ac:dyDescent="0.35">
      <c r="A88" s="20">
        <v>87</v>
      </c>
      <c r="B88" s="21">
        <v>4.03</v>
      </c>
    </row>
    <row r="89" spans="1:2" ht="12.75" x14ac:dyDescent="0.35">
      <c r="A89" s="20">
        <v>88</v>
      </c>
      <c r="B89" s="21">
        <v>4.1900000000000004</v>
      </c>
    </row>
    <row r="90" spans="1:2" ht="12.75" x14ac:dyDescent="0.35">
      <c r="A90" s="20">
        <v>89</v>
      </c>
      <c r="B90" s="21">
        <v>4.01</v>
      </c>
    </row>
    <row r="91" spans="1:2" ht="12.75" x14ac:dyDescent="0.35">
      <c r="A91" s="20">
        <v>90</v>
      </c>
      <c r="B91" s="21">
        <v>4.0999999999999996</v>
      </c>
    </row>
    <row r="92" spans="1:2" ht="12.75" x14ac:dyDescent="0.35">
      <c r="A92" s="20">
        <v>91</v>
      </c>
      <c r="B92" s="21">
        <v>4.04</v>
      </c>
    </row>
    <row r="93" spans="1:2" ht="12.75" x14ac:dyDescent="0.35">
      <c r="A93" s="20">
        <v>92</v>
      </c>
      <c r="B93" s="21">
        <v>4.1500000000000004</v>
      </c>
    </row>
    <row r="94" spans="1:2" ht="12.75" x14ac:dyDescent="0.35">
      <c r="A94" s="20">
        <v>93</v>
      </c>
      <c r="B94" s="21">
        <v>3.9</v>
      </c>
    </row>
    <row r="95" spans="1:2" ht="12.75" x14ac:dyDescent="0.35">
      <c r="A95" s="20">
        <v>94</v>
      </c>
      <c r="B95" s="21">
        <v>4.05</v>
      </c>
    </row>
    <row r="96" spans="1:2" ht="12.75" x14ac:dyDescent="0.35">
      <c r="A96" s="20">
        <v>95</v>
      </c>
      <c r="B96" s="21">
        <v>4.05</v>
      </c>
    </row>
    <row r="97" spans="1:3" ht="12.75" x14ac:dyDescent="0.35">
      <c r="A97" s="20">
        <v>96</v>
      </c>
      <c r="B97" s="21">
        <v>4</v>
      </c>
    </row>
    <row r="98" spans="1:3" ht="12.75" x14ac:dyDescent="0.35">
      <c r="A98" s="20">
        <v>97</v>
      </c>
      <c r="B98" s="21">
        <v>3.95</v>
      </c>
    </row>
    <row r="99" spans="1:3" ht="12.75" x14ac:dyDescent="0.35">
      <c r="A99" s="20">
        <v>98</v>
      </c>
      <c r="B99" s="21">
        <v>4.21</v>
      </c>
    </row>
    <row r="100" spans="1:3" ht="12.75" x14ac:dyDescent="0.35">
      <c r="A100" s="20">
        <v>99</v>
      </c>
      <c r="B100" s="21">
        <v>4.08</v>
      </c>
      <c r="C100" s="35"/>
    </row>
    <row r="101" spans="1:3" ht="12.75" x14ac:dyDescent="0.35">
      <c r="A101" s="20">
        <v>100</v>
      </c>
      <c r="B101" s="22">
        <v>4.16</v>
      </c>
      <c r="C101" s="35"/>
    </row>
    <row r="102" spans="1:3" ht="12.75" x14ac:dyDescent="0.35">
      <c r="A102" s="23" t="s">
        <v>11</v>
      </c>
      <c r="B102" s="24">
        <f>AVERAGE(B2:B101)</f>
        <v>3.9590999999999998</v>
      </c>
    </row>
    <row r="103" spans="1:3" ht="12.75" x14ac:dyDescent="0.35">
      <c r="A103" s="23" t="s">
        <v>12</v>
      </c>
      <c r="B103" s="24">
        <f>STDEV(B2:B101)</f>
        <v>0.20751095869808409</v>
      </c>
    </row>
    <row r="104" spans="1:3" ht="12.75" x14ac:dyDescent="0.35">
      <c r="A104" s="23" t="s">
        <v>21</v>
      </c>
      <c r="B104" s="24">
        <f>B103/SQRT(100)</f>
        <v>2.075109586980841E-2</v>
      </c>
    </row>
    <row r="105" spans="1:3" ht="12.75" x14ac:dyDescent="0.35">
      <c r="A105" s="25" t="s">
        <v>22</v>
      </c>
      <c r="B105" s="33">
        <f>100/B102</f>
        <v>25.258265767472405</v>
      </c>
    </row>
    <row r="106" spans="1:3" ht="12.75" x14ac:dyDescent="0.35">
      <c r="A106" s="25" t="s">
        <v>23</v>
      </c>
      <c r="B106" s="33">
        <f>B105*SQRT((2.5/100)^2)+((B104/B102)^2)</f>
        <v>0.63148411611425659</v>
      </c>
    </row>
  </sheetData>
  <conditionalFormatting sqref="B102:B104">
    <cfRule type="notContainsBlanks" dxfId="0" priority="1">
      <formula>LEN(TRIM(B102))&gt;0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4"/>
  <sheetViews>
    <sheetView zoomScale="79" workbookViewId="0">
      <selection activeCell="F16" sqref="F16"/>
    </sheetView>
  </sheetViews>
  <sheetFormatPr defaultColWidth="12.59765625" defaultRowHeight="15.75" customHeight="1" x14ac:dyDescent="0.35"/>
  <cols>
    <col min="1" max="1" width="20.73046875" customWidth="1"/>
    <col min="2" max="2" width="14.46484375" bestFit="1" customWidth="1"/>
  </cols>
  <sheetData>
    <row r="1" spans="1:6" ht="12.75" x14ac:dyDescent="0.35">
      <c r="A1" s="26"/>
      <c r="B1" s="2" t="s">
        <v>24</v>
      </c>
      <c r="C1" s="2" t="s">
        <v>25</v>
      </c>
      <c r="D1" s="2" t="s">
        <v>26</v>
      </c>
      <c r="E1" s="2" t="s">
        <v>27</v>
      </c>
      <c r="F1" s="27" t="s">
        <v>28</v>
      </c>
    </row>
    <row r="2" spans="1:6" ht="13.15" x14ac:dyDescent="0.35">
      <c r="A2" s="28">
        <v>1</v>
      </c>
      <c r="B2" s="5">
        <v>17.07</v>
      </c>
      <c r="C2" s="5">
        <v>8.01</v>
      </c>
      <c r="D2" s="5">
        <v>4.6500000000000004</v>
      </c>
      <c r="E2" s="5">
        <v>3.09</v>
      </c>
      <c r="F2" s="41">
        <v>2.37</v>
      </c>
    </row>
    <row r="3" spans="1:6" ht="13.15" x14ac:dyDescent="0.35">
      <c r="A3" s="28">
        <v>2</v>
      </c>
      <c r="B3" s="5">
        <v>16.440000000000001</v>
      </c>
      <c r="C3" s="5">
        <v>7.95</v>
      </c>
      <c r="D3" s="5">
        <v>4.68</v>
      </c>
      <c r="E3" s="5">
        <v>3.16</v>
      </c>
      <c r="F3" s="41">
        <v>2.5</v>
      </c>
    </row>
    <row r="4" spans="1:6" ht="13.15" x14ac:dyDescent="0.35">
      <c r="A4" s="28">
        <v>3</v>
      </c>
      <c r="B4" s="5">
        <v>16.98</v>
      </c>
      <c r="C4" s="5">
        <v>7.97</v>
      </c>
      <c r="D4" s="5">
        <v>4.6900000000000004</v>
      </c>
      <c r="E4" s="5">
        <v>3</v>
      </c>
      <c r="F4" s="41">
        <v>2.52</v>
      </c>
    </row>
    <row r="5" spans="1:6" ht="13.15" x14ac:dyDescent="0.35">
      <c r="A5" s="28">
        <v>4</v>
      </c>
      <c r="B5" s="5">
        <v>17.25</v>
      </c>
      <c r="C5" s="5">
        <v>7.85</v>
      </c>
      <c r="D5" s="5">
        <v>4.5199999999999996</v>
      </c>
      <c r="E5" s="5">
        <v>3.11</v>
      </c>
      <c r="F5" s="41">
        <v>2.4</v>
      </c>
    </row>
    <row r="6" spans="1:6" ht="13.15" x14ac:dyDescent="0.35">
      <c r="A6" s="28">
        <v>5</v>
      </c>
      <c r="B6" s="5">
        <v>16.850000000000001</v>
      </c>
      <c r="C6" s="5">
        <v>7.86</v>
      </c>
      <c r="D6" s="5">
        <v>4.7</v>
      </c>
      <c r="E6" s="5">
        <v>3.03</v>
      </c>
      <c r="F6" s="41">
        <v>2.16</v>
      </c>
    </row>
    <row r="7" spans="1:6" ht="13.15" x14ac:dyDescent="0.35">
      <c r="A7" s="28">
        <v>6</v>
      </c>
      <c r="B7" s="5">
        <v>17.18</v>
      </c>
      <c r="C7" s="5">
        <v>8.15</v>
      </c>
      <c r="D7" s="5">
        <v>4.8499999999999996</v>
      </c>
      <c r="E7" s="5">
        <v>3.1</v>
      </c>
      <c r="F7" s="41">
        <v>2.2200000000000002</v>
      </c>
    </row>
    <row r="8" spans="1:6" ht="13.15" x14ac:dyDescent="0.35">
      <c r="A8" s="28">
        <v>7</v>
      </c>
      <c r="B8" s="5">
        <v>16.87</v>
      </c>
      <c r="C8" s="5">
        <v>8.26</v>
      </c>
      <c r="D8" s="5">
        <v>4.66</v>
      </c>
      <c r="E8" s="5">
        <v>3.25</v>
      </c>
      <c r="F8" s="41">
        <v>2.33</v>
      </c>
    </row>
    <row r="9" spans="1:6" ht="13.15" x14ac:dyDescent="0.35">
      <c r="A9" s="28">
        <v>8</v>
      </c>
      <c r="B9" s="5">
        <v>16.91</v>
      </c>
      <c r="C9" s="38">
        <v>7.66</v>
      </c>
      <c r="D9" s="5">
        <v>4.7</v>
      </c>
      <c r="E9" s="5">
        <v>2.91</v>
      </c>
      <c r="F9" s="41">
        <v>2.35</v>
      </c>
    </row>
    <row r="10" spans="1:6" ht="13.15" x14ac:dyDescent="0.35">
      <c r="A10" s="28">
        <v>9</v>
      </c>
      <c r="B10" s="5">
        <v>17.03</v>
      </c>
      <c r="C10" s="5">
        <v>7.92</v>
      </c>
      <c r="D10" s="5">
        <v>4.68</v>
      </c>
      <c r="E10" s="5">
        <v>3.02</v>
      </c>
      <c r="F10" s="41">
        <v>2.44</v>
      </c>
    </row>
    <row r="11" spans="1:6" ht="13.15" x14ac:dyDescent="0.35">
      <c r="A11" s="28">
        <v>10</v>
      </c>
      <c r="B11" s="5">
        <v>16.940000000000001</v>
      </c>
      <c r="C11" s="5">
        <v>7.92</v>
      </c>
      <c r="D11" s="5">
        <v>4.7300000000000004</v>
      </c>
      <c r="E11" s="5">
        <v>2.9</v>
      </c>
      <c r="F11" s="41">
        <v>2.5</v>
      </c>
    </row>
    <row r="12" spans="1:6" ht="12.75" x14ac:dyDescent="0.35">
      <c r="A12" s="29" t="s">
        <v>11</v>
      </c>
      <c r="B12" s="8">
        <f t="shared" ref="B12:D12" si="0">AVERAGE(B2:B11)</f>
        <v>16.952000000000002</v>
      </c>
      <c r="C12" s="8">
        <f>AVERAGE(C2:C11)</f>
        <v>7.9550000000000001</v>
      </c>
      <c r="D12" s="8">
        <f t="shared" si="0"/>
        <v>4.6859999999999999</v>
      </c>
      <c r="E12" s="8">
        <f>AVERAGE(E2:E11)</f>
        <v>3.0569999999999995</v>
      </c>
      <c r="F12" s="40">
        <f>AVERAGE(F2:F10)</f>
        <v>2.3655555555555559</v>
      </c>
    </row>
    <row r="13" spans="1:6" ht="12.75" x14ac:dyDescent="0.35">
      <c r="A13" s="30" t="s">
        <v>12</v>
      </c>
      <c r="B13" s="5">
        <f t="shared" ref="B13:D13" si="1">STDEV(B2:B11)</f>
        <v>0.22180071135042689</v>
      </c>
      <c r="C13" s="5">
        <f t="shared" si="1"/>
        <v>0.16460390166835182</v>
      </c>
      <c r="D13" s="5">
        <f t="shared" si="1"/>
        <v>8.0856525882440577E-2</v>
      </c>
      <c r="E13" s="5">
        <f>STDEV(E2:E11)</f>
        <v>0.10812030336620408</v>
      </c>
      <c r="F13" s="39">
        <f>_xlfn.STDEV.S(F2:F11)</f>
        <v>0.12013418423672009</v>
      </c>
    </row>
    <row r="14" spans="1:6" ht="12.75" x14ac:dyDescent="0.35">
      <c r="A14" s="30" t="s">
        <v>21</v>
      </c>
      <c r="B14" s="5">
        <f t="shared" ref="B14:E14" si="2">B13/SQRT(10)</f>
        <v>7.0139543451291003E-2</v>
      </c>
      <c r="C14" s="5">
        <f t="shared" si="2"/>
        <v>5.2052324102238152E-2</v>
      </c>
      <c r="D14" s="5">
        <f t="shared" si="2"/>
        <v>2.5569078547686818E-2</v>
      </c>
      <c r="E14" s="5">
        <f t="shared" si="2"/>
        <v>3.419064199455752E-2</v>
      </c>
      <c r="F14" s="6">
        <f>F13/SQRT(10)</f>
        <v>3.7989764703433217E-2</v>
      </c>
    </row>
    <row r="15" spans="1:6" ht="12.75" x14ac:dyDescent="0.35">
      <c r="A15" s="30" t="s">
        <v>33</v>
      </c>
      <c r="B15" s="5">
        <f>(200/B12)</f>
        <v>11.798017932987257</v>
      </c>
      <c r="C15" s="5">
        <f t="shared" ref="C15:D15" si="3">(200/C12)</f>
        <v>25.141420490257698</v>
      </c>
      <c r="D15" s="5">
        <f t="shared" si="3"/>
        <v>42.680324370465215</v>
      </c>
      <c r="E15" s="5">
        <f>(200/E12)</f>
        <v>65.423617926071316</v>
      </c>
      <c r="F15" s="5">
        <f>200/F12</f>
        <v>84.54673555659933</v>
      </c>
    </row>
    <row r="16" spans="1:6" ht="12.75" x14ac:dyDescent="0.35">
      <c r="A16" s="31" t="s">
        <v>29</v>
      </c>
      <c r="B16" s="33">
        <f t="shared" ref="B16:D16" si="4">B15*SQRT(((3/200)^2)+((B14/B12)^2))</f>
        <v>0.18357928977564592</v>
      </c>
      <c r="C16" s="33">
        <f t="shared" si="4"/>
        <v>0.41144100770606662</v>
      </c>
      <c r="D16" s="33">
        <f t="shared" si="4"/>
        <v>0.68124697450430383</v>
      </c>
      <c r="E16" s="33">
        <f>E15*SQRT(((3/200)^2)+((E14/E12)^2))</f>
        <v>1.2241216973782278</v>
      </c>
      <c r="F16" s="33">
        <f>F15*SQRT(((3/200)^2)+((F14/F12)^2))</f>
        <v>1.8579310883901139</v>
      </c>
    </row>
    <row r="19" spans="4:5" ht="15.75" customHeight="1" x14ac:dyDescent="0.35">
      <c r="E19" s="37"/>
    </row>
    <row r="21" spans="4:5" ht="15.75" customHeight="1" x14ac:dyDescent="0.35">
      <c r="D21" s="37"/>
    </row>
    <row r="23" spans="4:5" ht="15.75" customHeight="1" x14ac:dyDescent="0.35">
      <c r="E23" s="37"/>
    </row>
    <row r="24" spans="4:5" ht="15.75" customHeight="1" x14ac:dyDescent="0.35">
      <c r="E24" s="3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Diametro palline</vt:lpstr>
      <vt:lpstr>Massa palline</vt:lpstr>
      <vt:lpstr>Tempi di caduta (10 cm)</vt:lpstr>
      <vt:lpstr>Tempi di caduta (20 cm)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m.declich@campus.unimib.it</cp:lastModifiedBy>
  <dcterms:created xsi:type="dcterms:W3CDTF">2026-03-03T20:52:33Z</dcterms:created>
  <dcterms:modified xsi:type="dcterms:W3CDTF">2026-04-13T19:14:48Z</dcterms:modified>
</cp:coreProperties>
</file>