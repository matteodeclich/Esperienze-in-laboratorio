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53" documentId="8_{3DF44A41-E27E-492E-BA1D-555257835B02}" xr6:coauthVersionLast="47" xr6:coauthVersionMax="47" xr10:uidLastSave="{5CA49A70-C9AB-4392-8B8E-D201067420C3}"/>
  <bookViews>
    <workbookView xWindow="-98" yWindow="-98" windowWidth="21795" windowHeight="12975" activeTab="2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  <sheet name="Foglio1" sheetId="6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4" l="1"/>
  <c r="G6" i="4"/>
  <c r="A9" i="5"/>
  <c r="E6" i="4"/>
  <c r="F6" i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<sst xmlns="http://schemas.openxmlformats.org/spreadsheetml/2006/main" count="53" uniqueCount="32">
  <si>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</si>
  <si>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</si>
  <si>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</si>
  <si>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</si>
  <si>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</si>
  <si>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</si>
  <si>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</si>
  <si>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</si>
  <si>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</si>
  <si>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</si>
  <si>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</si>
  <si>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</si>
  <si>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</si>
  <si>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</si>
  <si>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</si>
  <si>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</si>
  <si>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</si>
  <si>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</si>
  <si>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</si>
  <si>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</si>
  <si>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</si>
  <si>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</si>
  <si>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</si>
  <si>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</si>
  <si>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</si>
  <si>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</si>
  <si>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</si>
  <si>
    <t>Massa totale</t>
  </si>
  <si>
    <t>Allungamento (mm)</t>
  </si>
  <si>
    <t>dL [m]</t>
  </si>
  <si>
    <t>μ'</t>
  </si>
  <si>
    <t>M corda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</si>
</sst>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0" xfId="0" applyNumberFormat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25" t="s">
        <v>1</v>
      </c>
      <c r="B1" s="26" t="s">
        <v>10</v>
      </c>
      <c r="C1" s="26" t="s">
        <v>5</v>
      </c>
      <c r="D1" s="23" t="s">
        <v>7</v>
      </c>
      <c r="E1" s="24" t="s">
        <v>6</v>
      </c>
      <c r="F1" s="4" t="s">
        <v>2</v>
      </c>
    </row>
    <row r="2" spans="1:6" ht="14.65" thickBot="1" x14ac:dyDescent="0.5">
      <c r="A2" s="27">
        <f>0.04986+A6</f>
        <v>0.13047999999999998</v>
      </c>
      <c r="B2" s="21">
        <v>1</v>
      </c>
      <c r="C2" s="6">
        <v>20</v>
      </c>
      <c r="D2" s="22">
        <v>0.1</v>
      </c>
      <c r="E2" s="15">
        <v>8.0619999999999997E-2</v>
      </c>
      <c r="F2" s="1">
        <v>5.2199999999999998E-3</v>
      </c>
    </row>
    <row r="3" spans="1:6" ht="14.65" thickBot="1" x14ac:dyDescent="0.5">
      <c r="A3" s="27"/>
      <c r="B3" s="16">
        <v>2</v>
      </c>
      <c r="C3">
        <v>40</v>
      </c>
      <c r="D3" s="22">
        <v>0.1</v>
      </c>
      <c r="E3" s="8" t="s">
        <v>8</v>
      </c>
      <c r="F3" s="5" t="s">
        <v>3</v>
      </c>
    </row>
    <row r="4" spans="1:6" ht="14.65" thickBot="1" x14ac:dyDescent="0.5">
      <c r="A4" s="27"/>
      <c r="B4" s="16">
        <v>3</v>
      </c>
      <c r="C4">
        <v>60.05</v>
      </c>
      <c r="D4" s="22">
        <v>0.1</v>
      </c>
      <c r="E4" s="1">
        <v>9.9900000000000006E-3</v>
      </c>
      <c r="F4" s="1">
        <v>2.4870000000000001</v>
      </c>
    </row>
    <row r="5" spans="1:6" ht="14.65" thickBot="1" x14ac:dyDescent="0.5">
      <c r="A5" s="28"/>
      <c r="B5" s="17">
        <v>4</v>
      </c>
      <c r="C5" s="7">
        <v>80.05</v>
      </c>
      <c r="D5" s="22">
        <v>0.1</v>
      </c>
      <c r="E5" s="5" t="s">
        <v>9</v>
      </c>
      <c r="F5" s="5" t="s">
        <v>26</v>
      </c>
    </row>
    <row r="6" spans="1:6" ht="14.65" thickBot="1" x14ac:dyDescent="0.5">
      <c r="A6" s="30">
        <f>E2</f>
        <v>8.0619999999999997E-2</v>
      </c>
      <c r="B6" s="21">
        <v>1</v>
      </c>
      <c r="C6" s="6">
        <v>16</v>
      </c>
      <c r="D6" s="22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31"/>
      <c r="B7" s="16">
        <v>2</v>
      </c>
      <c r="C7">
        <v>32</v>
      </c>
      <c r="D7" s="22">
        <v>0.1</v>
      </c>
      <c r="E7" s="5" t="s">
        <v>11</v>
      </c>
      <c r="F7" s="5" t="s">
        <v>4</v>
      </c>
    </row>
    <row r="8" spans="1:6" ht="14.65" thickBot="1" x14ac:dyDescent="0.5">
      <c r="A8" s="31"/>
      <c r="B8" s="16">
        <v>3</v>
      </c>
      <c r="C8">
        <v>48.05</v>
      </c>
      <c r="D8" s="22">
        <v>0.1</v>
      </c>
      <c r="E8" s="2">
        <v>0.19974</v>
      </c>
      <c r="F8" s="2">
        <v>0.65690000000000004</v>
      </c>
    </row>
    <row r="9" spans="1:6" ht="14.65" thickBot="1" x14ac:dyDescent="0.5">
      <c r="A9" s="32"/>
      <c r="B9" s="17">
        <v>4</v>
      </c>
      <c r="C9" s="7">
        <v>64.099999999999994</v>
      </c>
      <c r="D9" s="22">
        <v>0.1</v>
      </c>
    </row>
    <row r="10" spans="1:6" ht="14.65" thickBot="1" x14ac:dyDescent="0.5">
      <c r="A10" s="29">
        <v>9.9900000000000006E-3</v>
      </c>
      <c r="B10">
        <v>1</v>
      </c>
      <c r="C10" s="19">
        <v>17.100000000000001</v>
      </c>
      <c r="D10" s="22">
        <v>0.1</v>
      </c>
    </row>
    <row r="11" spans="1:6" ht="14.65" thickBot="1" x14ac:dyDescent="0.5">
      <c r="A11" s="27"/>
      <c r="B11">
        <v>2</v>
      </c>
      <c r="C11">
        <v>34.450000000000003</v>
      </c>
      <c r="D11" s="22">
        <v>0.1</v>
      </c>
    </row>
    <row r="12" spans="1:6" ht="14.65" thickBot="1" x14ac:dyDescent="0.5">
      <c r="A12" s="27"/>
      <c r="B12">
        <v>3</v>
      </c>
      <c r="C12">
        <v>51.85</v>
      </c>
      <c r="D12" s="22">
        <v>0.1</v>
      </c>
    </row>
    <row r="13" spans="1:6" ht="14.65" thickBot="1" x14ac:dyDescent="0.5">
      <c r="A13" s="28"/>
      <c r="B13" s="7">
        <v>4</v>
      </c>
      <c r="C13" s="7">
        <v>69.099999999999994</v>
      </c>
      <c r="D13" s="22">
        <v>0.1</v>
      </c>
    </row>
    <row r="14" spans="1:6" x14ac:dyDescent="0.45">
      <c r="D14" s="22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9" sqref="D1:D9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1" t="s">
        <v>0</v>
      </c>
      <c r="B1" s="12" t="s">
        <v>5</v>
      </c>
      <c r="C1" s="13" t="s">
        <v>7</v>
      </c>
      <c r="D1" s="4" t="s">
        <v>2</v>
      </c>
      <c r="E1" s="4" t="s">
        <v>6</v>
      </c>
    </row>
    <row r="2" spans="1:8" x14ac:dyDescent="0.45">
      <c r="A2" s="14">
        <f>E10+E2</f>
        <v>0.13047999999999998</v>
      </c>
      <c r="B2" s="19">
        <v>40</v>
      </c>
      <c r="C2" s="15">
        <v>1</v>
      </c>
      <c r="D2" s="1">
        <v>5.2199999999999998E-3</v>
      </c>
      <c r="E2" s="1">
        <v>8.0619999999999997E-2</v>
      </c>
    </row>
    <row r="3" spans="1:8" x14ac:dyDescent="0.45">
      <c r="A3" s="16">
        <f>E2</f>
        <v>8.0619999999999997E-2</v>
      </c>
      <c r="B3" s="19">
        <v>32</v>
      </c>
      <c r="C3" s="15">
        <v>1</v>
      </c>
      <c r="D3" s="5" t="s">
        <v>3</v>
      </c>
      <c r="E3" s="5" t="s">
        <v>8</v>
      </c>
    </row>
    <row r="4" spans="1:8" x14ac:dyDescent="0.45">
      <c r="A4" s="14">
        <f>E4+E2</f>
        <v>9.0609999999999996E-2</v>
      </c>
      <c r="B4">
        <v>34.450000000000003</v>
      </c>
      <c r="C4" s="15">
        <v>1</v>
      </c>
      <c r="D4" s="1">
        <v>2.4870000000000001</v>
      </c>
      <c r="E4" s="1">
        <v>9.9900000000000006E-3</v>
      </c>
    </row>
    <row r="5" spans="1:8" x14ac:dyDescent="0.45">
      <c r="A5" s="14">
        <f>E4+E6+E2</f>
        <v>0.11058</v>
      </c>
      <c r="B5" s="19">
        <v>36.700000000000003</v>
      </c>
      <c r="C5" s="15">
        <v>1</v>
      </c>
      <c r="D5" s="5" t="s">
        <v>26</v>
      </c>
      <c r="E5" s="5" t="s">
        <v>9</v>
      </c>
    </row>
    <row r="6" spans="1:8" ht="14.65" thickBot="1" x14ac:dyDescent="0.5">
      <c r="A6" s="14">
        <f>E10+E6+E2</f>
        <v>0.15045</v>
      </c>
      <c r="B6" s="19">
        <v>42.4</v>
      </c>
      <c r="C6" s="15">
        <v>1</v>
      </c>
      <c r="D6" s="2">
        <f>D2/D4</f>
        <v>2.0989143546441495E-3</v>
      </c>
      <c r="E6" s="1">
        <v>1.9970000000000002E-2</v>
      </c>
    </row>
    <row r="7" spans="1:8" x14ac:dyDescent="0.45">
      <c r="A7" s="14">
        <f>E10*2+E2</f>
        <v>0.18034</v>
      </c>
      <c r="B7">
        <v>46.55</v>
      </c>
      <c r="C7" s="15">
        <v>1</v>
      </c>
      <c r="D7" s="5" t="s">
        <v>4</v>
      </c>
      <c r="E7" s="5" t="s">
        <v>11</v>
      </c>
    </row>
    <row r="8" spans="1:8" ht="14.65" thickBot="1" x14ac:dyDescent="0.5">
      <c r="A8" s="16">
        <f>E8+E2</f>
        <v>0.28036</v>
      </c>
      <c r="B8">
        <v>57.05</v>
      </c>
      <c r="C8" s="15">
        <v>1</v>
      </c>
      <c r="D8" s="2">
        <v>0.65690000000000004</v>
      </c>
      <c r="E8" s="1">
        <v>0.19974</v>
      </c>
    </row>
    <row r="9" spans="1:8" ht="14.65" thickBot="1" x14ac:dyDescent="0.5">
      <c r="A9" s="17">
        <f>E10*2+E8+E2</f>
        <v>0.38007999999999997</v>
      </c>
      <c r="B9" s="7">
        <v>65.349999999999994</v>
      </c>
      <c r="C9" s="18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H9"/>
  <sheetViews>
    <sheetView tabSelected="1" workbookViewId="0">
      <selection activeCell="I5" sqref="I5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  <col min="7" max="7" width="16.9296875" bestFit="1" customWidth="1"/>
    <col min="8" max="8" width="11.73046875" bestFit="1" customWidth="1"/>
  </cols>
  <sheetData>
    <row r="1" spans="1:8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  <c r="G1" s="4" t="s">
        <v>31</v>
      </c>
    </row>
    <row r="2" spans="1:8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>
        <f>B2*C2</f>
        <v>37.481850000000001</v>
      </c>
      <c r="G2" s="1">
        <v>5.2199999999999998E-3</v>
      </c>
    </row>
    <row r="3" spans="1:8" x14ac:dyDescent="0.45">
      <c r="B3">
        <v>0.82199999999999995</v>
      </c>
      <c r="C3">
        <v>46.2</v>
      </c>
      <c r="D3">
        <v>0.5</v>
      </c>
      <c r="E3" s="8" t="s">
        <v>13</v>
      </c>
      <c r="F3">
        <f t="shared" ref="F3:F7" si="0">B3*C3</f>
        <v>37.976399999999998</v>
      </c>
      <c r="G3" s="5" t="s">
        <v>3</v>
      </c>
      <c r="H3" s="4" t="s">
        <v>29</v>
      </c>
    </row>
    <row r="4" spans="1:8" x14ac:dyDescent="0.45">
      <c r="B4">
        <v>0.54200000000000004</v>
      </c>
      <c r="C4">
        <v>69.05</v>
      </c>
      <c r="D4">
        <v>0.5</v>
      </c>
      <c r="E4">
        <v>0.19974</v>
      </c>
      <c r="F4">
        <f t="shared" si="0"/>
        <v>37.4251</v>
      </c>
      <c r="G4" s="1">
        <v>2.4870000000000001</v>
      </c>
      <c r="H4" s="1">
        <v>7.1999999999999998E-3</v>
      </c>
    </row>
    <row r="5" spans="1:8" x14ac:dyDescent="0.45">
      <c r="B5">
        <v>0.41099999999999998</v>
      </c>
      <c r="C5">
        <v>91.75</v>
      </c>
      <c r="D5">
        <v>0.5</v>
      </c>
      <c r="E5" s="8" t="s">
        <v>27</v>
      </c>
      <c r="F5">
        <f>B5*C5</f>
        <v>37.709249999999997</v>
      </c>
      <c r="G5" s="5" t="s">
        <v>26</v>
      </c>
      <c r="H5" s="5" t="s">
        <v>30</v>
      </c>
    </row>
    <row r="6" spans="1:8" ht="14.65" thickBot="1" x14ac:dyDescent="0.5">
      <c r="B6">
        <v>0.96599999999999997</v>
      </c>
      <c r="C6">
        <v>38.65</v>
      </c>
      <c r="D6">
        <v>0.5</v>
      </c>
      <c r="E6">
        <f>E4+E2</f>
        <v>0.28036</v>
      </c>
      <c r="F6">
        <f t="shared" si="0"/>
        <v>37.335899999999995</v>
      </c>
      <c r="G6" s="2">
        <f>G2/G4</f>
        <v>2.0989143546441495E-3</v>
      </c>
      <c r="H6" s="2">
        <f>G2/(G4+H4)</f>
        <v>2.0928554245850371E-3</v>
      </c>
    </row>
    <row r="7" spans="1:8" x14ac:dyDescent="0.45">
      <c r="B7">
        <v>1.123</v>
      </c>
      <c r="C7">
        <v>32.950000000000003</v>
      </c>
      <c r="D7">
        <v>0.5</v>
      </c>
      <c r="F7">
        <f t="shared" si="0"/>
        <v>37.002850000000002</v>
      </c>
      <c r="H7" s="34"/>
    </row>
    <row r="8" spans="1:8" x14ac:dyDescent="0.45">
      <c r="H8" s="33"/>
    </row>
    <row r="9" spans="1:8" x14ac:dyDescent="0.45">
      <c r="H9" s="3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9"/>
  <sheetViews>
    <sheetView workbookViewId="0">
      <selection activeCell="I2" sqref="I2:I6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0.1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0.1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0.1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0.1</v>
      </c>
    </row>
    <row r="6" spans="1:9" x14ac:dyDescent="0.45">
      <c r="A6" s="8" t="s">
        <v>17</v>
      </c>
      <c r="C6" s="10" t="s">
        <v>23</v>
      </c>
      <c r="D6">
        <v>5.2199999999999998E-3</v>
      </c>
      <c r="E6">
        <v>2.4870000000000001</v>
      </c>
      <c r="F6">
        <f t="shared" si="0"/>
        <v>2.0989143546441495E-3</v>
      </c>
      <c r="H6">
        <v>53.85</v>
      </c>
      <c r="I6">
        <v>0.1</v>
      </c>
    </row>
    <row r="7" spans="1:9" x14ac:dyDescent="0.45">
      <c r="A7">
        <v>0.69699999999999995</v>
      </c>
    </row>
    <row r="8" spans="1:9" x14ac:dyDescent="0.45">
      <c r="A8" s="8" t="s">
        <v>27</v>
      </c>
    </row>
    <row r="9" spans="1:9" x14ac:dyDescent="0.45">
      <c r="A9">
        <f>A5+A3</f>
        <v>0.28036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A4E9-F2B9-4847-BDEC-4095BA4AFD1C}">
  <dimension ref="A1:A2"/>
  <sheetViews>
    <sheetView workbookViewId="0">
      <selection activeCell="B9" sqref="B9"/>
    </sheetView>
  </sheetViews>
  <sheetFormatPr defaultRowHeight="14.25" x14ac:dyDescent="0.45"/>
  <cols>
    <col min="1" max="1" width="16.46484375" customWidth="1"/>
  </cols>
  <sheetData>
    <row r="1" spans="1:1" x14ac:dyDescent="0.45">
      <c r="A1" t="s">
        <v>28</v>
      </c>
    </row>
    <row r="2" spans="1:1" x14ac:dyDescent="0.45">
      <c r="A2">
        <v>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Armoniche</vt:lpstr>
      <vt:lpstr>2a armonica</vt:lpstr>
      <vt:lpstr>Massa fissa</vt:lpstr>
      <vt:lpstr>Massa lineare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2026-05-05T14:47:42Z</dcterms:modified>
</cp:coreProperties>
</file>