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bit-my.sharepoint.com/personal/m_declich_campus_unimib_it/Documents/Documenti/Università/I° anno/Laboratorio I/Esperienze in laboratorio/"/>
    </mc:Choice>
  </mc:AlternateContent>
  <xr:revisionPtr revIDLastSave="474" documentId="8_{3DF44A41-E27E-492E-BA1D-555257835B02}" xr6:coauthVersionLast="47" xr6:coauthVersionMax="47" xr10:uidLastSave="{CF55B30A-E6DD-4E8F-840D-4F913E935599}"/>
  <bookViews>
    <workbookView xWindow="-98" yWindow="-98" windowWidth="21795" windowHeight="12975" activeTab="1" xr2:uid="{66246746-D775-4609-8BD7-27C14F46A2F9}"/>
  </bookViews>
  <sheets>
    <sheet name="Armoniche" sheetId="1" r:id="rId1"/>
    <sheet name="2a armonica" sheetId="2" r:id="rId2"/>
    <sheet name="Massa fissa" sheetId="4" r:id="rId3"/>
    <sheet name="Massa lineare" sheetId="5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A2" i="2"/>
  <c r="F3" i="5"/>
  <c r="F4" i="5"/>
  <c r="F5" i="5"/>
  <c r="F6" i="5"/>
  <c r="F2" i="5"/>
  <c r="A6" i="1"/>
  <c r="F5" i="4"/>
  <c r="F3" i="4"/>
  <c r="F4" i="4"/>
  <c r="F6" i="4"/>
  <c r="F7" i="4"/>
  <c r="F2" i="4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<sst xmlns="http://schemas.openxmlformats.org/spreadsheetml/2006/main" count="44" uniqueCount="27">
  <si>
    <t>Massa appesa</t>
  </si>
  <si>
    <t>Massa appesa (kg)</t>
  </si>
  <si>
    <t>Massa corda (kg)</t>
  </si>
  <si>
    <t>Lunghezza corda (m)</t>
  </si>
  <si>
    <t>Lunghezza tratto (m)</t>
  </si>
  <si>
    <t>Frequenza (Hz)</t>
  </si>
  <si>
    <t>Massa supporto (kg)</t>
  </si>
  <si>
    <t>Incertezza (Hz)</t>
  </si>
  <si>
    <t>Massa 1 (kg)</t>
  </si>
  <si>
    <t>Massa 2 (kg</t>
  </si>
  <si>
    <t>Armonica</t>
  </si>
  <si>
    <t>Massa 3</t>
  </si>
  <si>
    <t>Lunghezza (m)</t>
  </si>
  <si>
    <t>Massa fissa</t>
  </si>
  <si>
    <t>Massa 4</t>
  </si>
  <si>
    <t>Corda viola</t>
  </si>
  <si>
    <t>Velocità</t>
  </si>
  <si>
    <t>Distanza fissa (m)</t>
  </si>
  <si>
    <t>Massa (kg)</t>
  </si>
  <si>
    <t>Massa fissa (kg)</t>
  </si>
  <si>
    <t>Corda verde fluo</t>
  </si>
  <si>
    <t>Corda gialla e nera</t>
  </si>
  <si>
    <t>Corda nera</t>
  </si>
  <si>
    <t>Corda rossa</t>
  </si>
  <si>
    <t>Massa lineare (kg/m)</t>
  </si>
  <si>
    <t>Tensione (N)</t>
  </si>
  <si>
    <t>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</si>
</sst>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0" borderId="4" xfId="0" applyBorder="1"/>
    <xf numFmtId="0" fontId="0" fillId="0" borderId="6" xfId="0" applyBorder="1"/>
    <xf numFmtId="2" fontId="0" fillId="0" borderId="4" xfId="0" applyNumberFormat="1" applyBorder="1"/>
    <xf numFmtId="0" fontId="0" fillId="3" borderId="5" xfId="0" applyFill="1" applyBorder="1"/>
    <xf numFmtId="0" fontId="0" fillId="5" borderId="0" xfId="0" applyFill="1"/>
    <xf numFmtId="0" fontId="0" fillId="3" borderId="0" xfId="0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Border="1"/>
    <xf numFmtId="0" fontId="0" fillId="6" borderId="7" xfId="0" applyFill="1" applyBorder="1"/>
    <xf numFmtId="0" fontId="0" fillId="2" borderId="4" xfId="0" applyFill="1" applyBorder="1"/>
    <xf numFmtId="0" fontId="0" fillId="2" borderId="8" xfId="0" applyFill="1" applyBorder="1"/>
    <xf numFmtId="0" fontId="0" fillId="0" borderId="9" xfId="0" applyBorder="1" applyAlignment="1">
      <alignment vertical="center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Font="1" applyBorder="1"/>
    <xf numFmtId="2" fontId="0" fillId="0" borderId="0" xfId="0" applyNumberFormat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F77326-8FD9-451E-BA19-EAA617DA5940}">
  <we:reference id="WA200007447" version="1.1.6.7" store="Ome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50BFB-3829-457A-A817-A7E087E07F9B}">
  <dimension ref="A1:E14"/>
  <sheetViews>
    <sheetView workbookViewId="0">
      <selection activeCell="B16" sqref="B16"/>
    </sheetView>
  </sheetViews>
  <sheetFormatPr defaultRowHeight="14.25" x14ac:dyDescent="0.45"/>
  <cols>
    <col min="1" max="1" width="16.9296875" bestFit="1" customWidth="1"/>
    <col min="2" max="2" width="15.06640625" bestFit="1" customWidth="1"/>
    <col min="3" max="3" width="18.46484375" customWidth="1"/>
    <col min="4" max="4" width="18.9296875" customWidth="1"/>
    <col min="5" max="7" width="16.9296875" bestFit="1" customWidth="1"/>
    <col min="8" max="8" width="12.33203125" bestFit="1" customWidth="1"/>
  </cols>
  <sheetData>
    <row r="1" spans="1:5" ht="14.65" thickBot="1" x14ac:dyDescent="0.5">
      <c r="A1" s="4" t="s">
        <v>1</v>
      </c>
      <c r="B1" s="3" t="s">
        <v>10</v>
      </c>
      <c r="C1" s="3" t="s">
        <v>5</v>
      </c>
      <c r="D1" s="3" t="s">
        <v>7</v>
      </c>
      <c r="E1" s="4" t="s">
        <v>6</v>
      </c>
    </row>
    <row r="2" spans="1:5" x14ac:dyDescent="0.45">
      <c r="A2" s="12">
        <v>4.9860000000000002E-2</v>
      </c>
      <c r="B2" s="6">
        <v>1</v>
      </c>
      <c r="C2" s="6">
        <v>20.010000000000002</v>
      </c>
      <c r="D2" s="6">
        <v>0.01</v>
      </c>
      <c r="E2" s="1">
        <v>8.0619999999999997E-2</v>
      </c>
    </row>
    <row r="3" spans="1:5" x14ac:dyDescent="0.45">
      <c r="A3" s="13"/>
      <c r="B3">
        <v>2</v>
      </c>
      <c r="C3">
        <v>40.020000000000003</v>
      </c>
      <c r="D3">
        <v>0.01</v>
      </c>
      <c r="E3" s="5" t="s">
        <v>2</v>
      </c>
    </row>
    <row r="4" spans="1:5" x14ac:dyDescent="0.45">
      <c r="A4" s="13"/>
      <c r="B4">
        <v>3</v>
      </c>
      <c r="C4">
        <v>60.03</v>
      </c>
      <c r="D4">
        <v>0.01</v>
      </c>
      <c r="E4" s="1">
        <v>5.2199999999999998E-3</v>
      </c>
    </row>
    <row r="5" spans="1:5" ht="14.65" thickBot="1" x14ac:dyDescent="0.5">
      <c r="A5" s="14"/>
      <c r="B5" s="7">
        <v>4</v>
      </c>
      <c r="C5" s="7">
        <v>80.040000000000006</v>
      </c>
      <c r="D5" s="7">
        <v>0.01</v>
      </c>
      <c r="E5" s="5" t="s">
        <v>3</v>
      </c>
    </row>
    <row r="6" spans="1:5" x14ac:dyDescent="0.45">
      <c r="A6" s="15">
        <f>E2</f>
        <v>8.0619999999999997E-2</v>
      </c>
      <c r="B6" s="6">
        <v>1</v>
      </c>
      <c r="C6" s="6">
        <v>16.02</v>
      </c>
      <c r="D6" s="6">
        <v>0.01</v>
      </c>
      <c r="E6" s="1">
        <v>2.4870000000000001</v>
      </c>
    </row>
    <row r="7" spans="1:5" x14ac:dyDescent="0.45">
      <c r="A7" s="16"/>
      <c r="B7">
        <v>2</v>
      </c>
      <c r="C7">
        <v>32.020000000000003</v>
      </c>
      <c r="D7">
        <v>0.01</v>
      </c>
      <c r="E7" s="5" t="s">
        <v>4</v>
      </c>
    </row>
    <row r="8" spans="1:5" ht="14.65" thickBot="1" x14ac:dyDescent="0.5">
      <c r="A8" s="16"/>
      <c r="B8">
        <v>3</v>
      </c>
      <c r="C8">
        <v>48.04</v>
      </c>
      <c r="D8">
        <v>0.01</v>
      </c>
      <c r="E8" s="2">
        <v>0.65690000000000004</v>
      </c>
    </row>
    <row r="9" spans="1:5" ht="14.65" thickBot="1" x14ac:dyDescent="0.5">
      <c r="A9" s="17"/>
      <c r="B9">
        <v>4</v>
      </c>
      <c r="C9">
        <v>64.08</v>
      </c>
      <c r="D9">
        <v>0.01</v>
      </c>
      <c r="E9" s="5" t="s">
        <v>8</v>
      </c>
    </row>
    <row r="10" spans="1:5" x14ac:dyDescent="0.45">
      <c r="A10" s="12">
        <v>9.9900000000000006E-3</v>
      </c>
      <c r="B10" s="6">
        <v>1</v>
      </c>
      <c r="C10" s="8">
        <v>17.100000000000001</v>
      </c>
      <c r="D10" s="6">
        <v>0.05</v>
      </c>
      <c r="E10" s="1">
        <v>9.9900000000000006E-3</v>
      </c>
    </row>
    <row r="11" spans="1:5" x14ac:dyDescent="0.45">
      <c r="A11" s="13"/>
      <c r="B11">
        <v>2</v>
      </c>
      <c r="C11">
        <v>34.450000000000003</v>
      </c>
      <c r="D11">
        <v>0.05</v>
      </c>
      <c r="E11" s="5" t="s">
        <v>9</v>
      </c>
    </row>
    <row r="12" spans="1:5" x14ac:dyDescent="0.45">
      <c r="A12" s="13"/>
      <c r="B12">
        <v>3</v>
      </c>
      <c r="C12">
        <v>51.85</v>
      </c>
      <c r="D12">
        <v>0.05</v>
      </c>
      <c r="E12" s="1">
        <v>1.9970000000000002E-2</v>
      </c>
    </row>
    <row r="13" spans="1:5" ht="14.65" thickBot="1" x14ac:dyDescent="0.5">
      <c r="A13" s="14"/>
      <c r="B13" s="7">
        <v>4</v>
      </c>
      <c r="C13" s="7">
        <v>69.099999999999994</v>
      </c>
      <c r="D13" s="7">
        <v>0.05</v>
      </c>
      <c r="E13" s="5" t="s">
        <v>11</v>
      </c>
    </row>
    <row r="14" spans="1:5" ht="14.65" thickBot="1" x14ac:dyDescent="0.5">
      <c r="E14" s="2">
        <v>0.19974</v>
      </c>
    </row>
  </sheetData>
  <mergeCells count="3">
    <mergeCell ref="A2:A5"/>
    <mergeCell ref="A10:A13"/>
    <mergeCell ref="A6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578E-8D54-4465-8C5D-42F0AA636434}">
  <dimension ref="A1:H12"/>
  <sheetViews>
    <sheetView tabSelected="1" workbookViewId="0">
      <selection activeCell="D1" sqref="D1:D6"/>
    </sheetView>
  </sheetViews>
  <sheetFormatPr defaultRowHeight="14.25" x14ac:dyDescent="0.45"/>
  <cols>
    <col min="1" max="1" width="11.73046875" bestFit="1" customWidth="1"/>
    <col min="2" max="2" width="12.46484375" bestFit="1" customWidth="1"/>
    <col min="3" max="3" width="12.33203125" bestFit="1" customWidth="1"/>
    <col min="4" max="4" width="18" customWidth="1"/>
    <col min="5" max="6" width="16.73046875" bestFit="1" customWidth="1"/>
    <col min="8" max="8" width="19.73046875" customWidth="1"/>
    <col min="10" max="10" width="11.73046875" bestFit="1" customWidth="1"/>
    <col min="11" max="11" width="12.46484375" bestFit="1" customWidth="1"/>
    <col min="12" max="12" width="12.33203125" bestFit="1" customWidth="1"/>
  </cols>
  <sheetData>
    <row r="1" spans="1:8" x14ac:dyDescent="0.45">
      <c r="A1" s="19" t="s">
        <v>0</v>
      </c>
      <c r="B1" s="20" t="s">
        <v>5</v>
      </c>
      <c r="C1" s="21" t="s">
        <v>7</v>
      </c>
      <c r="D1" s="4" t="s">
        <v>2</v>
      </c>
      <c r="E1" s="4" t="s">
        <v>6</v>
      </c>
    </row>
    <row r="2" spans="1:8" x14ac:dyDescent="0.45">
      <c r="A2" s="22">
        <f>E12+E2</f>
        <v>0.13047999999999998</v>
      </c>
      <c r="B2" s="28">
        <v>40</v>
      </c>
      <c r="C2" s="23">
        <v>1</v>
      </c>
      <c r="D2" s="1">
        <v>5.2199999999999998E-3</v>
      </c>
      <c r="E2" s="1">
        <v>8.0619999999999997E-2</v>
      </c>
    </row>
    <row r="3" spans="1:8" x14ac:dyDescent="0.45">
      <c r="A3" s="27">
        <f>E2</f>
        <v>8.0619999999999997E-2</v>
      </c>
      <c r="B3" s="28">
        <v>32</v>
      </c>
      <c r="C3" s="23">
        <v>1</v>
      </c>
      <c r="D3" s="5" t="s">
        <v>3</v>
      </c>
      <c r="E3" s="5" t="s">
        <v>4</v>
      </c>
    </row>
    <row r="4" spans="1:8" ht="14.65" thickBot="1" x14ac:dyDescent="0.5">
      <c r="A4" s="22">
        <f>E6+E2</f>
        <v>9.0609999999999996E-2</v>
      </c>
      <c r="B4" s="18">
        <v>34.450000000000003</v>
      </c>
      <c r="C4" s="23">
        <v>1</v>
      </c>
      <c r="D4" s="1">
        <v>2.4870000000000001</v>
      </c>
      <c r="E4" s="2">
        <v>0.65690000000000004</v>
      </c>
    </row>
    <row r="5" spans="1:8" x14ac:dyDescent="0.45">
      <c r="A5" s="22">
        <f>E6+E8+E2</f>
        <v>0.11058</v>
      </c>
      <c r="B5" s="28">
        <v>36.700000000000003</v>
      </c>
      <c r="C5" s="23">
        <v>1</v>
      </c>
      <c r="D5" s="5" t="s">
        <v>26</v>
      </c>
      <c r="E5" s="5" t="s">
        <v>8</v>
      </c>
    </row>
    <row r="6" spans="1:8" ht="14.65" thickBot="1" x14ac:dyDescent="0.5">
      <c r="A6" s="22">
        <f>E12+E8+E2</f>
        <v>0.15045</v>
      </c>
      <c r="B6" s="28">
        <v>42.4</v>
      </c>
      <c r="C6" s="23">
        <v>1</v>
      </c>
      <c r="D6" s="2">
        <f>D2/D4</f>
        <v>2.0989143546441495E-3</v>
      </c>
      <c r="E6" s="1">
        <v>9.9900000000000006E-3</v>
      </c>
    </row>
    <row r="7" spans="1:8" x14ac:dyDescent="0.45">
      <c r="A7" s="22">
        <f>E12*2+E2</f>
        <v>0.18034</v>
      </c>
      <c r="B7" s="18">
        <v>46.55</v>
      </c>
      <c r="C7" s="23">
        <v>1</v>
      </c>
      <c r="E7" s="5" t="s">
        <v>9</v>
      </c>
    </row>
    <row r="8" spans="1:8" x14ac:dyDescent="0.45">
      <c r="A8" s="24">
        <f>E10+E2</f>
        <v>0.28036</v>
      </c>
      <c r="B8" s="18">
        <v>57.05</v>
      </c>
      <c r="C8" s="23">
        <v>1</v>
      </c>
      <c r="E8" s="1">
        <v>1.9970000000000002E-2</v>
      </c>
    </row>
    <row r="9" spans="1:8" ht="14.65" thickBot="1" x14ac:dyDescent="0.5">
      <c r="A9" s="25">
        <f>E12*2+E10+E2</f>
        <v>0.38007999999999997</v>
      </c>
      <c r="B9" s="7">
        <v>65.349999999999994</v>
      </c>
      <c r="C9" s="26">
        <v>1</v>
      </c>
      <c r="E9" s="5" t="s">
        <v>11</v>
      </c>
    </row>
    <row r="10" spans="1:8" x14ac:dyDescent="0.45">
      <c r="E10" s="1">
        <v>0.19974</v>
      </c>
    </row>
    <row r="11" spans="1:8" x14ac:dyDescent="0.45">
      <c r="E11" s="5" t="s">
        <v>14</v>
      </c>
    </row>
    <row r="12" spans="1:8" ht="14.65" thickBot="1" x14ac:dyDescent="0.5">
      <c r="E12" s="2">
        <v>4.9860000000000002E-2</v>
      </c>
      <c r="H12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5C55-C5DB-4AE8-ADD3-264BA2389546}">
  <dimension ref="A1:F7"/>
  <sheetViews>
    <sheetView workbookViewId="0">
      <selection activeCell="F1" sqref="F1:F7"/>
    </sheetView>
  </sheetViews>
  <sheetFormatPr defaultRowHeight="14.25" x14ac:dyDescent="0.45"/>
  <cols>
    <col min="1" max="1" width="13.06640625" bestFit="1" customWidth="1"/>
    <col min="2" max="2" width="12" bestFit="1" customWidth="1"/>
    <col min="3" max="3" width="12.46484375" bestFit="1" customWidth="1"/>
    <col min="4" max="4" width="12.33203125" bestFit="1" customWidth="1"/>
    <col min="5" max="5" width="16.46484375" bestFit="1" customWidth="1"/>
  </cols>
  <sheetData>
    <row r="1" spans="1:6" x14ac:dyDescent="0.45">
      <c r="A1" s="10" t="s">
        <v>19</v>
      </c>
      <c r="B1" s="3" t="s">
        <v>12</v>
      </c>
      <c r="C1" s="3" t="s">
        <v>5</v>
      </c>
      <c r="D1" s="3" t="s">
        <v>7</v>
      </c>
      <c r="E1" s="5" t="s">
        <v>6</v>
      </c>
      <c r="F1" s="3" t="s">
        <v>16</v>
      </c>
    </row>
    <row r="2" spans="1:6" ht="14.65" thickBot="1" x14ac:dyDescent="0.5">
      <c r="A2">
        <v>0.19974</v>
      </c>
      <c r="B2" s="2">
        <v>0.65700000000000003</v>
      </c>
      <c r="C2">
        <v>57.05</v>
      </c>
      <c r="D2">
        <v>0.05</v>
      </c>
      <c r="E2">
        <v>8.0619999999999997E-2</v>
      </c>
      <c r="F2">
        <f>B2*C2</f>
        <v>37.481850000000001</v>
      </c>
    </row>
    <row r="3" spans="1:6" x14ac:dyDescent="0.45">
      <c r="B3">
        <v>0.82199999999999995</v>
      </c>
      <c r="C3">
        <v>46.2</v>
      </c>
      <c r="D3">
        <v>0.05</v>
      </c>
      <c r="E3" s="9" t="s">
        <v>13</v>
      </c>
      <c r="F3">
        <f t="shared" ref="F3:F7" si="0">B3*C3</f>
        <v>37.976399999999998</v>
      </c>
    </row>
    <row r="4" spans="1:6" x14ac:dyDescent="0.45">
      <c r="B4">
        <v>0.54200000000000004</v>
      </c>
      <c r="C4">
        <v>69.05</v>
      </c>
      <c r="D4">
        <v>0.05</v>
      </c>
      <c r="E4">
        <v>0.19974</v>
      </c>
      <c r="F4">
        <f t="shared" si="0"/>
        <v>37.4251</v>
      </c>
    </row>
    <row r="5" spans="1:6" x14ac:dyDescent="0.45">
      <c r="B5">
        <v>0.41099999999999998</v>
      </c>
      <c r="C5">
        <v>91.75</v>
      </c>
      <c r="D5">
        <v>0.05</v>
      </c>
      <c r="F5">
        <f>B5*C5</f>
        <v>37.709249999999997</v>
      </c>
    </row>
    <row r="6" spans="1:6" x14ac:dyDescent="0.45">
      <c r="B6">
        <v>0.96599999999999997</v>
      </c>
      <c r="C6">
        <v>38.65</v>
      </c>
      <c r="D6">
        <v>0.05</v>
      </c>
      <c r="F6">
        <f t="shared" si="0"/>
        <v>37.335899999999995</v>
      </c>
    </row>
    <row r="7" spans="1:6" x14ac:dyDescent="0.45">
      <c r="B7">
        <v>1.123</v>
      </c>
      <c r="C7">
        <v>32.950000000000003</v>
      </c>
      <c r="D7">
        <v>0.05</v>
      </c>
      <c r="F7">
        <f t="shared" si="0"/>
        <v>37.002850000000002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A81E-4FD2-400A-9824-344811F62795}">
  <dimension ref="A1:I7"/>
  <sheetViews>
    <sheetView workbookViewId="0">
      <selection activeCell="H11" sqref="H11"/>
    </sheetView>
  </sheetViews>
  <sheetFormatPr defaultRowHeight="14.25" x14ac:dyDescent="0.45"/>
  <cols>
    <col min="1" max="1" width="16.46484375" bestFit="1" customWidth="1"/>
    <col min="2" max="2" width="12.1328125" customWidth="1"/>
    <col min="3" max="3" width="15.06640625" bestFit="1" customWidth="1"/>
    <col min="4" max="4" width="9" bestFit="1" customWidth="1"/>
    <col min="5" max="5" width="8.9296875" bestFit="1" customWidth="1"/>
    <col min="6" max="6" width="16.9296875" bestFit="1" customWidth="1"/>
    <col min="7" max="7" width="12.19921875" customWidth="1"/>
    <col min="8" max="8" width="12.46484375" bestFit="1" customWidth="1"/>
    <col min="9" max="9" width="12.33203125" bestFit="1" customWidth="1"/>
  </cols>
  <sheetData>
    <row r="1" spans="1:9" x14ac:dyDescent="0.45">
      <c r="D1" s="3" t="s">
        <v>18</v>
      </c>
      <c r="E1" s="3" t="s">
        <v>12</v>
      </c>
      <c r="F1" s="3" t="s">
        <v>24</v>
      </c>
      <c r="G1" s="3" t="s">
        <v>25</v>
      </c>
      <c r="H1" s="3" t="s">
        <v>5</v>
      </c>
      <c r="I1" s="3" t="s">
        <v>7</v>
      </c>
    </row>
    <row r="2" spans="1:9" x14ac:dyDescent="0.45">
      <c r="A2" s="5" t="s">
        <v>6</v>
      </c>
      <c r="C2" s="11" t="s">
        <v>15</v>
      </c>
      <c r="D2">
        <v>4.0699999999999998E-3</v>
      </c>
      <c r="E2">
        <v>1.75</v>
      </c>
      <c r="F2">
        <f>D2/E2</f>
        <v>2.3257142857142856E-3</v>
      </c>
      <c r="H2">
        <v>52.8</v>
      </c>
      <c r="I2">
        <v>0.05</v>
      </c>
    </row>
    <row r="3" spans="1:9" x14ac:dyDescent="0.45">
      <c r="A3">
        <v>8.0619999999999997E-2</v>
      </c>
      <c r="C3" s="11" t="s">
        <v>20</v>
      </c>
      <c r="D3">
        <v>3.3300000000000001E-3</v>
      </c>
      <c r="E3">
        <v>1.46</v>
      </c>
      <c r="F3">
        <f t="shared" ref="F3:F6" si="0">D3/E3</f>
        <v>2.2808219178082193E-3</v>
      </c>
      <c r="H3">
        <v>52.35</v>
      </c>
      <c r="I3">
        <v>0.05</v>
      </c>
    </row>
    <row r="4" spans="1:9" x14ac:dyDescent="0.45">
      <c r="A4" s="9" t="s">
        <v>13</v>
      </c>
      <c r="C4" s="11" t="s">
        <v>21</v>
      </c>
      <c r="D4">
        <v>5.8500000000000002E-3</v>
      </c>
      <c r="E4">
        <v>2.4700000000000002</v>
      </c>
      <c r="F4">
        <f t="shared" si="0"/>
        <v>2.3684210526315787E-3</v>
      </c>
      <c r="H4">
        <v>51.75</v>
      </c>
      <c r="I4">
        <v>0.05</v>
      </c>
    </row>
    <row r="5" spans="1:9" x14ac:dyDescent="0.45">
      <c r="A5">
        <v>0.19974</v>
      </c>
      <c r="C5" s="11" t="s">
        <v>22</v>
      </c>
      <c r="D5">
        <v>5.0499999999999998E-3</v>
      </c>
      <c r="E5">
        <v>2.5</v>
      </c>
      <c r="F5">
        <f t="shared" si="0"/>
        <v>2.0200000000000001E-3</v>
      </c>
      <c r="H5">
        <v>55.05</v>
      </c>
      <c r="I5">
        <v>0.05</v>
      </c>
    </row>
    <row r="6" spans="1:9" x14ac:dyDescent="0.45">
      <c r="A6" s="9" t="s">
        <v>17</v>
      </c>
      <c r="C6" s="11" t="s">
        <v>23</v>
      </c>
      <c r="D6" s="18">
        <v>5.2199999999999998E-3</v>
      </c>
      <c r="E6" s="18">
        <v>2.4870000000000001</v>
      </c>
      <c r="F6">
        <f t="shared" si="0"/>
        <v>2.0989143546441495E-3</v>
      </c>
      <c r="H6">
        <v>53.85</v>
      </c>
      <c r="I6">
        <v>0.05</v>
      </c>
    </row>
    <row r="7" spans="1:9" x14ac:dyDescent="0.45">
      <c r="A7">
        <v>0.69699999999999995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Armoniche</vt:lpstr>
      <vt:lpstr>2a armonica</vt:lpstr>
      <vt:lpstr>Massa fissa</vt:lpstr>
      <vt:lpstr>Massa lineare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lastModifiedBy>m.declich@campus.unimib.it</cp:lastModifiedBy>
  <dcterms:created xsi:type="dcterms:W3CDTF">2026-05-05T08:39:49Z</dcterms:created>
  <dcterms:modified xsi:type="dcterms:W3CDTF">2026-05-05T12:11:37Z</dcterms:modified>
</cp:coreProperties>
</file>