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<sst xmlns="http://schemas.openxmlformats.org/spreadsheetml/2006/main" count="39" uniqueCount="39">
  <si>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</si>
  <si>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</si>
  <si>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</si>
  <si>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</si>
  <si>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</si>
  <si>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</si>
  <si>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</si>
  <si>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</si>
  <si>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</si>
  <si>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</si>
  <si>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</si>
  <si>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</si>
  <si>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</si>
  <si>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</si>
  <si>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</si>
  <si>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</si>
  <si>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</si>
  <si>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</si>
  <si>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</si>
  <si>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</si>
  <si>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</si>
  <si>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</si>
  <si>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</si>
  <si>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</si>
  <si>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</si>
  <si>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</si>
  <si>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</si>
  <si>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</si>
  <si>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</si>
  <si>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</si>
  <si>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Massa fissa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</si>
  <si>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</si>
  <si>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</si>
  <si>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</si>
  <si>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</si>
  <si>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</si>
  <si>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</si>
  <si>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Incertezza sulla massa</t>
  </si>
  <si>
    <t xml:space="preserve">Corda viola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</si>
</sst>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27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0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2" numFmtId="164" xfId="0" applyNumberFormat="1" applyBorder="1" applyAlignment="1">
      <alignment horizontal="left" indent="12"/>
    </xf>
    <xf fontId="0" fillId="0" borderId="3" numFmtId="0" xfId="0" applyBorder="1"/>
    <xf fontId="0" fillId="0" borderId="7" numFmtId="165" xfId="0" applyNumberFormat="1" applyBorder="1"/>
    <xf fontId="0" fillId="0" borderId="8" numFmtId="165" xfId="0" applyNumberFormat="1" applyBorder="1"/>
    <xf fontId="0" fillId="0" borderId="5" numFmtId="0" xfId="0" applyBorder="1"/>
    <xf fontId="0" fillId="0" borderId="0" numFmtId="164" xfId="0" applyNumberFormat="1" applyAlignment="1">
      <alignment horizontal="left" indent="12"/>
    </xf>
    <xf fontId="0" fillId="0" borderId="7" numFmtId="0" xfId="0" applyBorder="1"/>
    <xf fontId="0" fillId="3" borderId="7" numFmtId="165" xfId="0" applyNumberFormat="1" applyFill="1" applyBorder="1"/>
    <xf fontId="0" fillId="3" borderId="8" numFmtId="165" xfId="0" applyNumberFormat="1" applyFill="1" applyBorder="1"/>
    <xf fontId="0" fillId="0" borderId="9" numFmtId="0" xfId="0" applyBorder="1"/>
    <xf fontId="0" fillId="0" borderId="10" numFmtId="164" xfId="0" applyNumberFormat="1" applyBorder="1" applyAlignment="1">
      <alignment horizontal="left" indent="12"/>
    </xf>
    <xf fontId="0" fillId="0" borderId="11" numFmtId="0" xfId="0" applyBorder="1"/>
    <xf fontId="0" fillId="3" borderId="8" numFmtId="0" xfId="0" applyFill="1" applyBorder="1"/>
    <xf fontId="0" fillId="4" borderId="6" numFmtId="0" xfId="0" applyFill="1" applyBorder="1" applyAlignment="1">
      <alignment horizontal="center" vertical="center"/>
    </xf>
    <xf fontId="0" fillId="0" borderId="8" numFmtId="0" xfId="0" applyBorder="1"/>
    <xf fontId="0" fillId="0" borderId="11" numFmtId="165" xfId="0" applyNumberFormat="1" applyBorder="1"/>
    <xf fontId="0" fillId="0" borderId="12" numFmtId="0" xfId="0" applyBorder="1"/>
    <xf fontId="0" fillId="3" borderId="7" numFmtId="165" xfId="0" applyNumberFormat="1" applyFill="1" applyBorder="1"/>
    <xf fontId="0" fillId="3" borderId="8" numFmtId="0" xfId="0" applyFill="1" applyBorder="1"/>
    <xf fontId="0" fillId="0" borderId="4" numFmtId="0" xfId="0" applyBorder="1" applyAlignment="1">
      <alignment horizontal="center" vertical="center"/>
    </xf>
    <xf fontId="0" fillId="0" borderId="12" numFmtId="165" xfId="0" applyNumberFormat="1" applyBorder="1"/>
    <xf fontId="0" fillId="5" borderId="6" numFmtId="0" xfId="0" applyFill="1" applyBorder="1"/>
    <xf fontId="0" fillId="3" borderId="13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14" numFmtId="165" xfId="0" applyNumberFormat="1" applyBorder="1"/>
    <xf fontId="0" fillId="0" borderId="5" numFmtId="165" xfId="0" applyNumberFormat="1" applyBorder="1"/>
    <xf fontId="0" fillId="3" borderId="14" numFmtId="165" xfId="0" applyNumberFormat="1" applyFill="1" applyBorder="1"/>
    <xf fontId="0" fillId="0" borderId="15" numFmtId="165" xfId="0" applyNumberFormat="1" applyBorder="1"/>
    <xf fontId="0" fillId="0" borderId="9" numFmtId="165" xfId="0" applyNumberFormat="1" applyBorder="1"/>
    <xf fontId="0" fillId="0" borderId="10" numFmtId="1" xfId="0" applyNumberFormat="1" applyBorder="1"/>
    <xf fontId="0" fillId="0" borderId="10" numFmtId="0" xfId="0" applyBorder="1"/>
    <xf fontId="0" fillId="3" borderId="16" numFmtId="165" xfId="0" applyNumberFormat="1" applyFill="1" applyBorder="1"/>
    <xf fontId="0" fillId="0" borderId="17" numFmtId="165" xfId="0" applyNumberFormat="1" applyBorder="1"/>
    <xf fontId="1" fillId="0" borderId="0" numFmtId="0" xfId="0" applyFont="1"/>
    <xf fontId="0" fillId="2" borderId="18" numFmtId="0" xfId="0" applyFill="1" applyBorder="1"/>
    <xf fontId="0" fillId="3" borderId="18" numFmtId="0" xfId="0" applyFill="1" applyBorder="1"/>
    <xf fontId="0" fillId="3" borderId="19" numFmtId="0" xfId="0" applyFill="1" applyBorder="1"/>
    <xf fontId="0" fillId="3" borderId="18" numFmtId="0" xfId="0" applyFill="1" applyBorder="1"/>
    <xf fontId="0" fillId="0" borderId="17" numFmtId="0" xfId="0" applyBorder="1"/>
    <xf fontId="0" fillId="0" borderId="0" numFmtId="0" xfId="0"/>
    <xf fontId="0" fillId="0" borderId="20" numFmtId="164" xfId="0" applyNumberFormat="1" applyBorder="1" applyAlignment="1">
      <alignment horizontal="left" indent="7"/>
    </xf>
    <xf fontId="0" fillId="0" borderId="21" numFmtId="0" xfId="0" applyBorder="1"/>
    <xf fontId="0" fillId="0" borderId="22" numFmtId="0" xfId="0" applyBorder="1"/>
    <xf fontId="0" fillId="0" borderId="0" numFmtId="164" xfId="0" applyNumberFormat="1" applyAlignment="1">
      <alignment horizontal="left" indent="7"/>
    </xf>
    <xf fontId="0" fillId="0" borderId="23" numFmtId="0" xfId="0" applyBorder="1"/>
    <xf fontId="0" fillId="3" borderId="14" numFmtId="165" xfId="0" applyNumberFormat="1" applyFill="1" applyBorder="1"/>
    <xf fontId="0" fillId="0" borderId="17" numFmtId="166" xfId="0" applyNumberFormat="1" applyBorder="1"/>
    <xf fontId="0" fillId="0" borderId="0" numFmtId="165" xfId="0" applyNumberFormat="1"/>
    <xf fontId="0" fillId="0" borderId="14" numFmtId="167" xfId="0" applyNumberFormat="1" applyBorder="1"/>
    <xf fontId="0" fillId="0" borderId="24" numFmtId="0" xfId="0" applyBorder="1"/>
    <xf fontId="0" fillId="0" borderId="25" numFmtId="164" xfId="0" applyNumberFormat="1" applyBorder="1" applyAlignment="1">
      <alignment horizontal="left" indent="7"/>
    </xf>
    <xf fontId="0" fillId="0" borderId="26" numFmtId="0" xfId="0" applyBorder="1"/>
    <xf fontId="0" fillId="3" borderId="14" numFmtId="167" xfId="0" applyNumberFormat="1" applyFill="1" applyBorder="1"/>
    <xf fontId="0" fillId="3" borderId="4" numFmtId="0" xfId="0" applyFill="1" applyBorder="1"/>
    <xf fontId="0" fillId="2" borderId="14" numFmtId="0" xfId="0" applyFill="1" applyBorder="1"/>
    <xf fontId="0" fillId="0" borderId="0" numFmtId="168" xfId="0" applyNumberFormat="1"/>
    <xf fontId="0" fillId="0" borderId="0" numFmtId="164" xfId="0" applyNumberFormat="1"/>
    <xf fontId="0" fillId="2" borderId="17" numFmtId="0" xfId="0" applyFill="1" applyBorder="1"/>
    <xf fontId="0" fillId="0" borderId="10" numFmtId="168" xfId="0" applyNumberFormat="1" applyBorder="1"/>
    <xf fontId="0" fillId="0" borderId="10" numFmtId="164" xfId="0" applyNumberFormat="1" applyBorder="1"/>
    <xf fontId="0" fillId="0" borderId="8" numFmtId="2" xfId="0" applyNumberFormat="1" applyBorder="1"/>
    <xf fontId="0" fillId="2" borderId="13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0.10000000000000001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0.10000000000000001</v>
      </c>
      <c r="E3" s="14" t="s">
        <v>6</v>
      </c>
      <c r="F3" s="15" t="s">
        <v>7</v>
      </c>
    </row>
    <row r="4">
      <c r="A4" s="5"/>
      <c r="B4" s="11">
        <v>3</v>
      </c>
      <c r="C4" s="12">
        <v>60.049999999999997</v>
      </c>
      <c r="D4" s="13">
        <v>0.10000000000000001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80.049999999999997</v>
      </c>
      <c r="D5" s="18">
        <v>0.10000000000000001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0.10000000000000001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</v>
      </c>
      <c r="D7" s="13">
        <v>0.10000000000000001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48.049999999999997</v>
      </c>
      <c r="D8" s="13">
        <v>0.10000000000000001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64.099999999999994</v>
      </c>
      <c r="D9" s="18">
        <v>0.10000000000000001</v>
      </c>
      <c r="E9" s="24" t="s">
        <v>12</v>
      </c>
      <c r="F9" s="25" t="s">
        <v>13</v>
      </c>
    </row>
    <row r="10" ht="14.65">
      <c r="A10" s="26">
        <v>9.9900000000000006e-003</v>
      </c>
      <c r="B10" s="6">
        <v>1</v>
      </c>
      <c r="C10" s="7">
        <v>17.100000000000001</v>
      </c>
      <c r="D10" s="8">
        <v>0.10000000000000001</v>
      </c>
      <c r="E10" s="22">
        <v>4.9860000000000002e-002</v>
      </c>
      <c r="F10" s="27">
        <f>F2/F6</f>
        <v>2.0989143546441495e-003</v>
      </c>
    </row>
    <row r="11" ht="14.65">
      <c r="A11" s="26"/>
      <c r="B11" s="11">
        <v>2</v>
      </c>
      <c r="C11" s="12">
        <v>34.450000000000003</v>
      </c>
      <c r="D11" s="13">
        <v>0.10000000000000001</v>
      </c>
      <c r="F11" s="19" t="s">
        <v>14</v>
      </c>
    </row>
    <row r="12" ht="14.65">
      <c r="A12" s="26"/>
      <c r="B12" s="11">
        <v>3</v>
      </c>
      <c r="C12" s="12">
        <v>51.850000000000001</v>
      </c>
      <c r="D12" s="13">
        <v>0.10000000000000001</v>
      </c>
      <c r="F12" s="23">
        <v>0.65690000000000004</v>
      </c>
    </row>
    <row r="13" ht="14.65">
      <c r="A13" s="26"/>
      <c r="B13" s="16">
        <v>4</v>
      </c>
      <c r="C13" s="17">
        <v>69.099999999999994</v>
      </c>
      <c r="D13" s="18">
        <v>0.10000000000000001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8" t="s">
        <v>0</v>
      </c>
      <c r="B1" s="2" t="s">
        <v>2</v>
      </c>
      <c r="C1" s="2" t="s">
        <v>3</v>
      </c>
      <c r="D1" s="29" t="s">
        <v>4</v>
      </c>
    </row>
    <row r="2">
      <c r="A2" s="30">
        <f>D10+D2</f>
        <v>0.13047999999999998</v>
      </c>
      <c r="B2" s="31">
        <v>40</v>
      </c>
      <c r="C2">
        <v>1</v>
      </c>
      <c r="D2" s="32">
        <v>8.0619999999999997e-002</v>
      </c>
    </row>
    <row r="3">
      <c r="A3" s="33">
        <f>D2</f>
        <v>8.0619999999999997e-002</v>
      </c>
      <c r="B3" s="31">
        <v>32</v>
      </c>
      <c r="C3">
        <v>1</v>
      </c>
      <c r="D3" s="34" t="s">
        <v>6</v>
      </c>
    </row>
    <row r="4">
      <c r="A4" s="30">
        <f>D4+D2</f>
        <v>9.0609999999999996e-002</v>
      </c>
      <c r="B4" s="31">
        <v>34.450000000000003</v>
      </c>
      <c r="C4">
        <v>1</v>
      </c>
      <c r="D4" s="32">
        <v>9.9900000000000006e-003</v>
      </c>
    </row>
    <row r="5">
      <c r="A5" s="30">
        <f>D4+D6+D2</f>
        <v>0.11058</v>
      </c>
      <c r="B5" s="31">
        <v>36.700000000000003</v>
      </c>
      <c r="C5">
        <v>1</v>
      </c>
      <c r="D5" s="34" t="s">
        <v>8</v>
      </c>
    </row>
    <row r="6">
      <c r="A6" s="30">
        <f>D10+D6+D2</f>
        <v>0.15045</v>
      </c>
      <c r="B6" s="31">
        <v>42.399999999999999</v>
      </c>
      <c r="C6">
        <v>1</v>
      </c>
      <c r="D6" s="32">
        <v>1.9970000000000002e-002</v>
      </c>
    </row>
    <row r="7">
      <c r="A7" s="30">
        <f>D10*2+D2</f>
        <v>0.18034</v>
      </c>
      <c r="B7" s="31">
        <v>46.549999999999997</v>
      </c>
      <c r="C7">
        <v>1</v>
      </c>
      <c r="D7" s="34" t="s">
        <v>10</v>
      </c>
    </row>
    <row r="8" ht="14.65">
      <c r="A8" s="33">
        <f>D8+D2</f>
        <v>0.28036</v>
      </c>
      <c r="B8" s="31">
        <v>57.049999999999997</v>
      </c>
      <c r="C8">
        <v>1</v>
      </c>
      <c r="D8" s="35">
        <v>0.19974</v>
      </c>
    </row>
    <row r="9" ht="14.65">
      <c r="A9" s="36">
        <f>D10*2+D8+D2</f>
        <v>0.38007999999999997</v>
      </c>
      <c r="B9" s="37">
        <v>65.349999999999994</v>
      </c>
      <c r="C9" s="38">
        <v>1</v>
      </c>
      <c r="D9" s="39" t="s">
        <v>12</v>
      </c>
    </row>
    <row r="10" ht="14.65">
      <c r="D10" s="40">
        <v>4.9860000000000002e-002</v>
      </c>
    </row>
    <row r="12" ht="14.65">
      <c r="H12" s="41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2" t="s">
        <v>16</v>
      </c>
      <c r="B1" s="43" t="s">
        <v>17</v>
      </c>
      <c r="C1" s="44" t="s">
        <v>2</v>
      </c>
      <c r="D1" s="44" t="s">
        <v>3</v>
      </c>
      <c r="E1" s="43" t="s">
        <v>4</v>
      </c>
      <c r="F1" s="43" t="s">
        <v>18</v>
      </c>
      <c r="G1" s="45" t="s">
        <v>19</v>
      </c>
    </row>
    <row r="2" ht="14.65">
      <c r="A2" s="46">
        <v>0.19974</v>
      </c>
      <c r="B2" s="47">
        <v>0.65700000000000003</v>
      </c>
      <c r="C2" s="48">
        <v>57.049999999999997</v>
      </c>
      <c r="D2" s="49">
        <v>0.5</v>
      </c>
      <c r="E2" s="32">
        <v>8.0619999999999997e-002</v>
      </c>
      <c r="F2" s="32">
        <v>5.2199999999999998e-003</v>
      </c>
      <c r="G2" s="32">
        <v>7.1999999999999998e-003</v>
      </c>
    </row>
    <row r="3">
      <c r="B3" s="50">
        <v>0.82199999999999995</v>
      </c>
      <c r="C3" s="51">
        <v>46.200000000000003</v>
      </c>
      <c r="D3" s="52">
        <v>0.5</v>
      </c>
      <c r="E3" s="53" t="s">
        <v>20</v>
      </c>
      <c r="F3" s="53" t="s">
        <v>21</v>
      </c>
      <c r="G3" s="34" t="s">
        <v>22</v>
      </c>
    </row>
    <row r="4" ht="14.65">
      <c r="B4" s="50">
        <v>0.54200000000000004</v>
      </c>
      <c r="C4" s="51">
        <v>69.049999999999997</v>
      </c>
      <c r="D4" s="52">
        <v>0.5</v>
      </c>
      <c r="E4" s="32">
        <v>0.19974</v>
      </c>
      <c r="F4" s="32">
        <v>5.0000000000000001e-004</v>
      </c>
      <c r="G4" s="54">
        <f>F2/(F6+G2)</f>
        <v>2.0928554245850371e-003</v>
      </c>
    </row>
    <row r="5">
      <c r="B5" s="50">
        <v>0.41099999999999998</v>
      </c>
      <c r="C5" s="51">
        <v>91.75</v>
      </c>
      <c r="D5" s="52">
        <v>0.5</v>
      </c>
      <c r="E5" s="53" t="s">
        <v>23</v>
      </c>
      <c r="F5" s="53" t="s">
        <v>24</v>
      </c>
      <c r="G5" s="55"/>
    </row>
    <row r="6">
      <c r="B6" s="50">
        <v>0.96599999999999997</v>
      </c>
      <c r="C6" s="51">
        <v>38.649999999999999</v>
      </c>
      <c r="D6" s="52">
        <v>0.5</v>
      </c>
      <c r="E6" s="32">
        <f>E4+E2</f>
        <v>0.28036</v>
      </c>
      <c r="F6" s="56">
        <v>2.4870000000000001</v>
      </c>
      <c r="G6" s="55"/>
    </row>
    <row r="7">
      <c r="B7" s="57">
        <v>1.123</v>
      </c>
      <c r="C7" s="58">
        <v>32.950000000000003</v>
      </c>
      <c r="D7" s="59">
        <v>0.5</v>
      </c>
      <c r="E7" s="53" t="s">
        <v>25</v>
      </c>
      <c r="F7" s="60" t="s">
        <v>11</v>
      </c>
      <c r="G7" s="55"/>
    </row>
    <row r="8">
      <c r="E8" s="40">
        <v>5.0000000000000001e-004</v>
      </c>
      <c r="F8" s="56">
        <v>1.4999999999999999e-002</v>
      </c>
      <c r="G8" s="55"/>
    </row>
    <row r="9">
      <c r="E9" s="55"/>
      <c r="F9" s="53" t="s">
        <v>13</v>
      </c>
      <c r="G9" s="55"/>
    </row>
    <row r="10" ht="14.65">
      <c r="E10" s="55"/>
      <c r="F10" s="54">
        <f>F2/F6</f>
        <v>2.0989143546441495e-003</v>
      </c>
      <c r="G10" s="5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6"/>
      <c r="B1" s="2" t="s">
        <v>26</v>
      </c>
      <c r="C1" s="2" t="s">
        <v>17</v>
      </c>
      <c r="D1" s="2" t="s">
        <v>27</v>
      </c>
      <c r="E1" s="2" t="s">
        <v>2</v>
      </c>
      <c r="F1" s="2" t="s">
        <v>3</v>
      </c>
      <c r="G1" s="61" t="s">
        <v>28</v>
      </c>
    </row>
    <row r="2">
      <c r="G2" s="10">
        <v>8.0619999999999997e-002</v>
      </c>
    </row>
    <row r="3">
      <c r="A3" s="62" t="s">
        <v>29</v>
      </c>
      <c r="B3">
        <v>3.3300000000000001e-003</v>
      </c>
      <c r="C3">
        <v>1.46</v>
      </c>
      <c r="D3" s="63">
        <f t="shared" ref="D3:D6" si="0">B3/C3</f>
        <v>2.2808219178082193e-003</v>
      </c>
      <c r="E3" s="64">
        <v>52.350000000000001</v>
      </c>
      <c r="F3">
        <v>0.5</v>
      </c>
      <c r="G3" s="25" t="s">
        <v>30</v>
      </c>
    </row>
    <row r="4">
      <c r="A4" s="62" t="s">
        <v>31</v>
      </c>
      <c r="B4">
        <v>5.8500000000000002e-003</v>
      </c>
      <c r="C4">
        <v>2.4700000000000002</v>
      </c>
      <c r="D4" s="63">
        <f t="shared" si="0"/>
        <v>2.3684210526315787e-003</v>
      </c>
      <c r="E4" s="64">
        <v>51.75</v>
      </c>
      <c r="F4">
        <v>0.5</v>
      </c>
      <c r="G4" s="10">
        <v>0.19974</v>
      </c>
    </row>
    <row r="5">
      <c r="A5" s="62" t="s">
        <v>32</v>
      </c>
      <c r="B5">
        <v>5.0499999999999998e-003</v>
      </c>
      <c r="C5">
        <v>2.5</v>
      </c>
      <c r="D5" s="63">
        <f t="shared" si="0"/>
        <v>2.0200000000000001e-003</v>
      </c>
      <c r="E5" s="64">
        <v>55.049999999999997</v>
      </c>
      <c r="F5">
        <v>0.5</v>
      </c>
      <c r="G5" s="25" t="s">
        <v>33</v>
      </c>
    </row>
    <row r="6" ht="14.65">
      <c r="A6" s="65" t="s">
        <v>34</v>
      </c>
      <c r="B6" s="38">
        <v>5.2199999999999998e-003</v>
      </c>
      <c r="C6" s="38">
        <v>2.4870000000000001</v>
      </c>
      <c r="D6" s="66">
        <f t="shared" si="0"/>
        <v>2.0989143546441495e-003</v>
      </c>
      <c r="E6" s="67">
        <v>53.850000000000001</v>
      </c>
      <c r="F6" s="38">
        <v>0.5</v>
      </c>
      <c r="G6" s="68">
        <v>0.69699999999999995</v>
      </c>
    </row>
    <row r="7">
      <c r="G7" s="25" t="s">
        <v>35</v>
      </c>
    </row>
    <row r="8">
      <c r="G8" s="21">
        <v>2.e-002</v>
      </c>
    </row>
    <row r="9">
      <c r="G9" s="25" t="s">
        <v>36</v>
      </c>
    </row>
    <row r="10">
      <c r="G10" s="10">
        <f>G4+G2</f>
        <v>0.28036</v>
      </c>
    </row>
    <row r="11">
      <c r="G11" s="25" t="s">
        <v>37</v>
      </c>
    </row>
    <row r="12" ht="14.65">
      <c r="G12" s="27">
        <v>5.0000000000000001e-004</v>
      </c>
    </row>
    <row r="17" ht="14.25">
      <c r="G17" s="69" t="s">
        <v>38</v>
      </c>
      <c r="H17">
        <v>4.0699999999999998e-003</v>
      </c>
      <c r="I17">
        <v>1.75</v>
      </c>
      <c r="J17" s="63">
        <f>H17/I17</f>
        <v>2.3257142857142856e-003</v>
      </c>
      <c r="K17" s="64">
        <v>52.799999999999997</v>
      </c>
      <c r="L17">
        <v>0.5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2026-05-05T08:39:49Z</dcterms:created>
  <dcterms:modified xsi:type="dcterms:W3CDTF">2026-05-30T22:40:07Z</dcterms:modified>
</cp:coreProperties>
</file>