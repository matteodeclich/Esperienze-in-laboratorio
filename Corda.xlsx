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<sst xmlns="http://schemas.openxmlformats.org/spreadsheetml/2006/main" count="40" uniqueCount="40">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</sst>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4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5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5" numFmtId="0" xfId="0" applyBorder="1"/>
    <xf fontId="0" fillId="0" borderId="6" numFmtId="164" xfId="0" applyNumberFormat="1" applyBorder="1" applyAlignment="1">
      <alignment horizontal="left" indent="12"/>
    </xf>
    <xf fontId="0" fillId="0" borderId="7" numFmtId="0" xfId="0" applyBorder="1"/>
    <xf fontId="0" fillId="0" borderId="8" numFmtId="165" xfId="0" applyNumberFormat="1" applyBorder="1"/>
    <xf fontId="0" fillId="0" borderId="9" numFmtId="165" xfId="0" applyNumberFormat="1" applyBorder="1"/>
    <xf fontId="0" fillId="0" borderId="10" numFmtId="0" xfId="0" applyBorder="1" applyAlignment="1">
      <alignment horizontal="center" vertical="center"/>
    </xf>
    <xf fontId="0" fillId="0" borderId="10" numFmtId="0" xfId="0" applyBorder="1"/>
    <xf fontId="0" fillId="0" borderId="0" numFmtId="164" xfId="0" applyNumberFormat="1" applyAlignment="1">
      <alignment horizontal="left" indent="12"/>
    </xf>
    <xf fontId="0" fillId="0" borderId="11" numFmtId="0" xfId="0" applyBorder="1"/>
    <xf fontId="0" fillId="3" borderId="8" numFmtId="165" xfId="0" applyNumberFormat="1" applyFill="1" applyBorder="1"/>
    <xf fontId="0" fillId="3" borderId="9" numFmtId="165" xfId="0" applyNumberFormat="1" applyFill="1" applyBorder="1"/>
    <xf fontId="0" fillId="0" borderId="12" numFmtId="0" xfId="0" applyBorder="1" applyAlignment="1">
      <alignment horizontal="center" vertical="center"/>
    </xf>
    <xf fontId="0" fillId="0" borderId="12" numFmtId="0" xfId="0" applyBorder="1"/>
    <xf fontId="0" fillId="0" borderId="13" numFmtId="164" xfId="0" applyNumberFormat="1" applyBorder="1" applyAlignment="1">
      <alignment horizontal="left" indent="12"/>
    </xf>
    <xf fontId="0" fillId="0" borderId="14" numFmtId="0" xfId="0" applyBorder="1"/>
    <xf fontId="0" fillId="3" borderId="9" numFmtId="0" xfId="0" applyFill="1" applyBorder="1"/>
    <xf fontId="0" fillId="4" borderId="15" numFmtId="0" xfId="0" applyFill="1" applyBorder="1" applyAlignment="1">
      <alignment horizontal="center" vertical="center"/>
    </xf>
    <xf fontId="0" fillId="0" borderId="9" numFmtId="0" xfId="0" applyBorder="1"/>
    <xf fontId="0" fillId="4" borderId="1" numFmtId="0" xfId="0" applyFill="1" applyBorder="1" applyAlignment="1">
      <alignment horizontal="center" vertical="center"/>
    </xf>
    <xf fontId="0" fillId="0" borderId="16" numFmtId="165" xfId="0" applyNumberFormat="1" applyBorder="1"/>
    <xf fontId="0" fillId="0" borderId="17" numFmtId="0" xfId="0" applyBorder="1"/>
    <xf fontId="0" fillId="0" borderId="17" numFmtId="165" xfId="0" applyNumberFormat="1" applyBorder="1"/>
    <xf fontId="0" fillId="0" borderId="18" numFmtId="0" xfId="0" applyBorder="1" applyAlignment="1">
      <alignment horizontal="center" vertical="center"/>
    </xf>
    <xf fontId="0" fillId="0" borderId="0" numFmtId="164" xfId="0" applyNumberFormat="1" applyAlignment="1">
      <alignment horizontal="left" indent="12"/>
    </xf>
    <xf fontId="0" fillId="0" borderId="19" numFmtId="0" xfId="0" applyBorder="1" applyAlignment="1">
      <alignment horizontal="center" vertical="center"/>
    </xf>
    <xf fontId="0" fillId="5" borderId="1" numFmtId="0" xfId="0" applyFill="1" applyBorder="1"/>
    <xf fontId="0" fillId="3" borderId="20" numFmtId="0" xfId="0" applyFill="1" applyBorder="1"/>
    <xf fontId="0" fillId="0" borderId="15" numFmtId="165" xfId="0" applyNumberFormat="1" applyBorder="1" applyAlignment="1">
      <alignment vertical="center"/>
    </xf>
    <xf fontId="0" fillId="0" borderId="0" numFmtId="1" xfId="0" applyNumberFormat="1"/>
    <xf fontId="0" fillId="0" borderId="21" numFmtId="165" xfId="0" applyNumberFormat="1" applyBorder="1"/>
    <xf fontId="0" fillId="0" borderId="15" numFmtId="165" xfId="0" applyNumberFormat="1" applyBorder="1"/>
    <xf fontId="0" fillId="3" borderId="21" numFmtId="165" xfId="0" applyNumberFormat="1" applyFill="1" applyBorder="1"/>
    <xf fontId="0" fillId="0" borderId="22" numFmtId="165" xfId="0" applyNumberFormat="1" applyBorder="1"/>
    <xf fontId="0" fillId="0" borderId="23" numFmtId="165" xfId="0" applyNumberFormat="1" applyBorder="1"/>
    <xf fontId="0" fillId="0" borderId="24" numFmtId="1" xfId="0" applyNumberFormat="1" applyBorder="1"/>
    <xf fontId="0" fillId="0" borderId="24" numFmtId="0" xfId="0" applyBorder="1"/>
    <xf fontId="0" fillId="3" borderId="25" numFmtId="165" xfId="0" applyNumberFormat="1" applyFill="1" applyBorder="1"/>
    <xf fontId="0" fillId="0" borderId="26" numFmtId="165" xfId="0" applyNumberFormat="1" applyBorder="1"/>
    <xf fontId="1" fillId="0" borderId="0" numFmtId="0" xfId="0" applyFont="1"/>
    <xf fontId="0" fillId="2" borderId="27" numFmtId="0" xfId="0" applyFill="1" applyBorder="1"/>
    <xf fontId="0" fillId="3" borderId="27" numFmtId="0" xfId="0" applyFill="1" applyBorder="1"/>
    <xf fontId="0" fillId="3" borderId="28" numFmtId="0" xfId="0" applyFill="1" applyBorder="1"/>
    <xf fontId="0" fillId="0" borderId="26" numFmtId="0" xfId="0" applyBorder="1"/>
    <xf fontId="0" fillId="0" borderId="0" numFmtId="0" xfId="0"/>
    <xf fontId="0" fillId="0" borderId="6" numFmtId="164" xfId="0" applyNumberFormat="1" applyBorder="1" applyAlignment="1">
      <alignment horizontal="left" indent="7"/>
    </xf>
    <xf fontId="0" fillId="0" borderId="0" numFmtId="164" xfId="0" applyNumberFormat="1" applyAlignment="1">
      <alignment horizontal="left" indent="7"/>
    </xf>
    <xf fontId="0" fillId="0" borderId="26" numFmtId="166" xfId="0" applyNumberFormat="1" applyBorder="1"/>
    <xf fontId="0" fillId="0" borderId="0" numFmtId="165" xfId="0" applyNumberFormat="1"/>
    <xf fontId="0" fillId="0" borderId="21" numFmtId="167" xfId="0" applyNumberFormat="1" applyBorder="1"/>
    <xf fontId="0" fillId="0" borderId="13" numFmtId="164" xfId="0" applyNumberFormat="1" applyBorder="1" applyAlignment="1">
      <alignment horizontal="left" indent="7"/>
    </xf>
    <xf fontId="0" fillId="3" borderId="21" numFmtId="167" xfId="0" applyNumberFormat="1" applyFill="1" applyBorder="1"/>
    <xf fontId="0" fillId="0" borderId="1" numFmtId="0" xfId="0" applyBorder="1"/>
    <xf fontId="0" fillId="2" borderId="29" numFmtId="0" xfId="0" applyFill="1" applyBorder="1"/>
    <xf fontId="0" fillId="0" borderId="6" numFmtId="0" xfId="0" applyBorder="1"/>
    <xf fontId="0" fillId="0" borderId="6" numFmtId="167" xfId="0" applyNumberFormat="1" applyBorder="1"/>
    <xf fontId="0" fillId="0" borderId="6" numFmtId="168" xfId="0" applyNumberFormat="1" applyBorder="1"/>
    <xf fontId="0" fillId="0" borderId="6" numFmtId="164" xfId="0" applyNumberFormat="1" applyBorder="1"/>
    <xf fontId="0" fillId="2" borderId="30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8" numFmtId="0" xfId="0" applyFill="1" applyBorder="1"/>
    <xf fontId="0" fillId="2" borderId="31" numFmtId="0" xfId="0" applyFill="1" applyBorder="1"/>
    <xf fontId="0" fillId="0" borderId="32" numFmtId="0" xfId="0" applyBorder="1"/>
    <xf fontId="0" fillId="0" borderId="32" numFmtId="167" xfId="0" applyNumberFormat="1" applyBorder="1"/>
    <xf fontId="0" fillId="0" borderId="32" numFmtId="168" xfId="0" applyNumberFormat="1" applyBorder="1"/>
    <xf fontId="0" fillId="0" borderId="32" numFmtId="164" xfId="0" applyNumberFormat="1" applyBorder="1"/>
    <xf fontId="0" fillId="0" borderId="33" numFmtId="0" xfId="0" applyBorder="1"/>
    <xf fontId="0" fillId="0" borderId="8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11"/>
      <c r="B3" s="12">
        <v>2</v>
      </c>
      <c r="C3" s="13">
        <v>40</v>
      </c>
      <c r="D3" s="14">
        <v>0.5</v>
      </c>
      <c r="E3" s="15" t="s">
        <v>6</v>
      </c>
      <c r="F3" s="16" t="s">
        <v>7</v>
      </c>
    </row>
    <row r="4">
      <c r="A4" s="11"/>
      <c r="B4" s="12">
        <v>3</v>
      </c>
      <c r="C4" s="13">
        <v>60</v>
      </c>
      <c r="D4" s="14">
        <v>0.5</v>
      </c>
      <c r="E4" s="9">
        <v>9.9900000000000006e-003</v>
      </c>
      <c r="F4" s="10">
        <v>5.0000000000000001e-004</v>
      </c>
    </row>
    <row r="5" ht="14.65">
      <c r="A5" s="17"/>
      <c r="B5" s="18">
        <v>4</v>
      </c>
      <c r="C5" s="19">
        <v>80</v>
      </c>
      <c r="D5" s="20">
        <v>0.5</v>
      </c>
      <c r="E5" s="15" t="s">
        <v>8</v>
      </c>
      <c r="F5" s="21" t="s">
        <v>9</v>
      </c>
    </row>
    <row r="6" ht="14.65">
      <c r="A6" s="22">
        <f>E2</f>
        <v>8.0619999999999997e-002</v>
      </c>
      <c r="B6" s="12">
        <v>1</v>
      </c>
      <c r="C6" s="13">
        <v>16</v>
      </c>
      <c r="D6" s="14">
        <v>0.5</v>
      </c>
      <c r="E6" s="9">
        <v>1.9970000000000002e-002</v>
      </c>
      <c r="F6" s="23">
        <v>2.4870000000000001</v>
      </c>
    </row>
    <row r="7" ht="14.65">
      <c r="A7" s="24"/>
      <c r="B7" s="12">
        <v>2</v>
      </c>
      <c r="C7" s="13">
        <v>32.5</v>
      </c>
      <c r="D7" s="14">
        <v>0.5</v>
      </c>
      <c r="E7" s="15" t="s">
        <v>10</v>
      </c>
      <c r="F7" s="21" t="s">
        <v>11</v>
      </c>
    </row>
    <row r="8" ht="14.65">
      <c r="A8" s="24"/>
      <c r="B8" s="12">
        <v>3</v>
      </c>
      <c r="C8" s="13">
        <v>48</v>
      </c>
      <c r="D8" s="14">
        <v>0.5</v>
      </c>
      <c r="E8" s="25">
        <v>0.19974</v>
      </c>
      <c r="F8" s="26">
        <v>1.4999999999999999e-002</v>
      </c>
    </row>
    <row r="9" ht="14.65">
      <c r="A9" s="24"/>
      <c r="B9" s="12">
        <v>4</v>
      </c>
      <c r="C9" s="13">
        <v>63.5</v>
      </c>
      <c r="D9" s="14">
        <v>0.5</v>
      </c>
      <c r="E9" s="15" t="s">
        <v>12</v>
      </c>
      <c r="F9" s="21" t="s">
        <v>13</v>
      </c>
    </row>
    <row r="10" ht="14.65">
      <c r="A10" s="5">
        <v>9.9900000000000006e-003</v>
      </c>
      <c r="B10" s="6">
        <v>1</v>
      </c>
      <c r="C10" s="7">
        <v>17</v>
      </c>
      <c r="D10" s="8">
        <v>0.5</v>
      </c>
      <c r="E10" s="25">
        <v>4.9860000000000002e-002</v>
      </c>
      <c r="F10" s="27">
        <f>F2/F6</f>
        <v>2.0989143546441495e-003</v>
      </c>
    </row>
    <row r="11" ht="14.65">
      <c r="A11" s="28"/>
      <c r="B11" s="12">
        <v>2</v>
      </c>
      <c r="C11" s="13">
        <v>34.5</v>
      </c>
      <c r="D11" s="14">
        <v>0.5</v>
      </c>
      <c r="F11" s="21" t="s">
        <v>14</v>
      </c>
    </row>
    <row r="12" ht="14.65">
      <c r="A12" s="28"/>
      <c r="B12" s="12">
        <v>3</v>
      </c>
      <c r="C12" s="29">
        <v>52</v>
      </c>
      <c r="D12" s="14">
        <v>0.5</v>
      </c>
      <c r="F12" s="26">
        <v>0.65690000000000004</v>
      </c>
    </row>
    <row r="13" ht="14.65">
      <c r="A13" s="30"/>
      <c r="B13" s="18">
        <v>4</v>
      </c>
      <c r="C13" s="19">
        <v>69</v>
      </c>
      <c r="D13" s="20">
        <v>0.5</v>
      </c>
      <c r="F13" s="21" t="s">
        <v>15</v>
      </c>
    </row>
    <row r="14" ht="14.65">
      <c r="F14" s="26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31" t="s">
        <v>0</v>
      </c>
      <c r="B1" s="2" t="s">
        <v>2</v>
      </c>
      <c r="C1" s="2" t="s">
        <v>3</v>
      </c>
      <c r="D1" s="32" t="s">
        <v>4</v>
      </c>
    </row>
    <row r="2">
      <c r="A2" s="33">
        <f>D10+D2</f>
        <v>0.13047999999999998</v>
      </c>
      <c r="B2" s="34">
        <v>40</v>
      </c>
      <c r="C2">
        <v>1</v>
      </c>
      <c r="D2" s="35">
        <v>8.0619999999999997e-002</v>
      </c>
    </row>
    <row r="3">
      <c r="A3" s="36">
        <f>D2</f>
        <v>8.0619999999999997e-002</v>
      </c>
      <c r="B3" s="34">
        <v>32</v>
      </c>
      <c r="C3">
        <v>1</v>
      </c>
      <c r="D3" s="37" t="s">
        <v>6</v>
      </c>
    </row>
    <row r="4">
      <c r="A4" s="33">
        <f>D4+D2</f>
        <v>9.0609999999999996e-002</v>
      </c>
      <c r="B4" s="34">
        <v>33</v>
      </c>
      <c r="C4">
        <v>1</v>
      </c>
      <c r="D4" s="35">
        <v>9.9900000000000006e-003</v>
      </c>
    </row>
    <row r="5">
      <c r="A5" s="33">
        <f>D4+D6+D2</f>
        <v>0.11058</v>
      </c>
      <c r="B5" s="34">
        <v>37</v>
      </c>
      <c r="C5">
        <v>1</v>
      </c>
      <c r="D5" s="37" t="s">
        <v>8</v>
      </c>
    </row>
    <row r="6">
      <c r="A6" s="33">
        <f>D10+D6+D2</f>
        <v>0.15045</v>
      </c>
      <c r="B6" s="34">
        <v>42</v>
      </c>
      <c r="C6">
        <v>1</v>
      </c>
      <c r="D6" s="35">
        <v>1.9970000000000002e-002</v>
      </c>
    </row>
    <row r="7">
      <c r="A7" s="33">
        <f>D10*2+D2</f>
        <v>0.18034</v>
      </c>
      <c r="B7" s="34">
        <v>47</v>
      </c>
      <c r="C7">
        <v>1</v>
      </c>
      <c r="D7" s="37" t="s">
        <v>10</v>
      </c>
    </row>
    <row r="8" ht="14.65">
      <c r="A8" s="36">
        <f>D8+D2</f>
        <v>0.28036</v>
      </c>
      <c r="B8" s="34">
        <v>57</v>
      </c>
      <c r="C8">
        <v>1</v>
      </c>
      <c r="D8" s="38">
        <v>0.19974</v>
      </c>
    </row>
    <row r="9" ht="14.65">
      <c r="A9" s="39">
        <f>D10*2+D8+D2</f>
        <v>0.38007999999999997</v>
      </c>
      <c r="B9" s="40">
        <v>65</v>
      </c>
      <c r="C9" s="41">
        <v>1</v>
      </c>
      <c r="D9" s="42" t="s">
        <v>12</v>
      </c>
    </row>
    <row r="10" ht="14.65">
      <c r="D10" s="43">
        <v>4.9860000000000002e-002</v>
      </c>
    </row>
    <row r="12" ht="14.65">
      <c r="H12" s="44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5" t="s">
        <v>16</v>
      </c>
      <c r="B1" s="46" t="s">
        <v>17</v>
      </c>
      <c r="C1" s="47" t="s">
        <v>2</v>
      </c>
      <c r="D1" s="47" t="s">
        <v>3</v>
      </c>
      <c r="E1" s="46" t="s">
        <v>4</v>
      </c>
      <c r="F1" s="46" t="s">
        <v>18</v>
      </c>
      <c r="G1" s="46" t="s">
        <v>19</v>
      </c>
    </row>
    <row r="2" ht="14.65">
      <c r="A2" s="48">
        <v>0.19974</v>
      </c>
      <c r="B2" s="49">
        <v>0.65700000000000003</v>
      </c>
      <c r="C2" s="50">
        <v>57</v>
      </c>
      <c r="D2" s="8">
        <v>0.5</v>
      </c>
      <c r="E2" s="35">
        <v>8.0619999999999997e-002</v>
      </c>
      <c r="F2" s="35">
        <v>5.2199999999999998e-003</v>
      </c>
      <c r="G2" s="35">
        <v>7.1999999999999998e-003</v>
      </c>
    </row>
    <row r="3">
      <c r="B3" s="12">
        <v>0.82199999999999995</v>
      </c>
      <c r="C3" s="51">
        <v>46</v>
      </c>
      <c r="D3" s="14">
        <v>0.5</v>
      </c>
      <c r="E3" s="37" t="s">
        <v>20</v>
      </c>
      <c r="F3" s="37" t="s">
        <v>21</v>
      </c>
      <c r="G3" s="37" t="s">
        <v>22</v>
      </c>
    </row>
    <row r="4" ht="14.65">
      <c r="B4" s="12">
        <v>0.54200000000000004</v>
      </c>
      <c r="C4" s="51">
        <v>69</v>
      </c>
      <c r="D4" s="14">
        <v>0.5</v>
      </c>
      <c r="E4" s="35">
        <v>0.19974</v>
      </c>
      <c r="F4" s="35">
        <v>5.0000000000000001e-004</v>
      </c>
      <c r="G4" s="52">
        <f>F2/(F6+G2)</f>
        <v>2.0928554245850371e-003</v>
      </c>
    </row>
    <row r="5">
      <c r="B5" s="12">
        <v>0.41099999999999998</v>
      </c>
      <c r="C5" s="51">
        <v>92</v>
      </c>
      <c r="D5" s="14">
        <v>0.5</v>
      </c>
      <c r="E5" s="37" t="s">
        <v>23</v>
      </c>
      <c r="F5" s="37" t="s">
        <v>24</v>
      </c>
      <c r="G5" s="53"/>
    </row>
    <row r="6">
      <c r="B6" s="12">
        <v>0.96599999999999997</v>
      </c>
      <c r="C6" s="51">
        <v>39</v>
      </c>
      <c r="D6" s="14">
        <v>0.5</v>
      </c>
      <c r="E6" s="35">
        <f>E4+E2</f>
        <v>0.28036</v>
      </c>
      <c r="F6" s="54">
        <v>2.4870000000000001</v>
      </c>
      <c r="G6" s="53"/>
    </row>
    <row r="7">
      <c r="B7" s="18">
        <v>1.123</v>
      </c>
      <c r="C7" s="55" t="s">
        <v>25</v>
      </c>
      <c r="D7" s="20">
        <v>0.5</v>
      </c>
      <c r="E7" s="37" t="s">
        <v>26</v>
      </c>
      <c r="F7" s="56" t="s">
        <v>11</v>
      </c>
      <c r="G7" s="53"/>
    </row>
    <row r="8">
      <c r="E8" s="43">
        <v>5.0000000000000001e-004</v>
      </c>
      <c r="F8" s="54">
        <v>1.4999999999999999e-002</v>
      </c>
      <c r="G8" s="53"/>
    </row>
    <row r="9">
      <c r="E9" s="53"/>
      <c r="F9" s="37" t="s">
        <v>13</v>
      </c>
      <c r="G9" s="53"/>
    </row>
    <row r="10" ht="14.65">
      <c r="E10" s="53"/>
      <c r="F10" s="52">
        <f>F2/F6</f>
        <v>2.0989143546441495e-003</v>
      </c>
      <c r="G10" s="5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7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8" t="s">
        <v>30</v>
      </c>
      <c r="B2" s="59">
        <v>3.3300000000000001e-003</v>
      </c>
      <c r="C2" s="60">
        <v>1.46</v>
      </c>
      <c r="D2" s="61">
        <f>B2/C2</f>
        <v>2.2808219178082193e-003</v>
      </c>
      <c r="E2" s="62">
        <v>52.5</v>
      </c>
      <c r="F2" s="8">
        <v>0.5</v>
      </c>
      <c r="G2" s="9">
        <v>8.0619999999999997e-002</v>
      </c>
    </row>
    <row r="3">
      <c r="A3" s="63" t="s">
        <v>31</v>
      </c>
      <c r="B3">
        <v>5.8500000000000002e-003</v>
      </c>
      <c r="C3" s="64">
        <v>2.4700000000000002</v>
      </c>
      <c r="D3" s="65">
        <f>B3/C3</f>
        <v>2.3684210526315787e-003</v>
      </c>
      <c r="E3" s="66">
        <v>52</v>
      </c>
      <c r="F3" s="14">
        <v>0.5</v>
      </c>
      <c r="G3" s="67" t="s">
        <v>32</v>
      </c>
    </row>
    <row r="4">
      <c r="A4" s="63" t="s">
        <v>33</v>
      </c>
      <c r="B4">
        <v>5.0499999999999998e-003</v>
      </c>
      <c r="C4" s="64">
        <v>2.5</v>
      </c>
      <c r="D4" s="65">
        <f>B4/C4</f>
        <v>2.0200000000000001e-003</v>
      </c>
      <c r="E4" s="66">
        <v>55</v>
      </c>
      <c r="F4" s="14">
        <v>0.5</v>
      </c>
      <c r="G4" s="9">
        <v>0.19974</v>
      </c>
    </row>
    <row r="5">
      <c r="A5" s="63" t="s">
        <v>34</v>
      </c>
      <c r="B5">
        <v>5.2199999999999998e-003</v>
      </c>
      <c r="C5" s="64">
        <v>2.4870000000000001</v>
      </c>
      <c r="D5" s="65">
        <f>B5/C5</f>
        <v>2.0989143546441495e-003</v>
      </c>
      <c r="E5" s="66">
        <v>54</v>
      </c>
      <c r="F5" s="14">
        <v>0.5</v>
      </c>
      <c r="G5" s="67" t="s">
        <v>35</v>
      </c>
    </row>
    <row r="6" ht="14.65">
      <c r="A6" s="68" t="s">
        <v>36</v>
      </c>
      <c r="B6" s="69">
        <v>4.0699999999999998e-003</v>
      </c>
      <c r="C6" s="70">
        <v>1.75</v>
      </c>
      <c r="D6" s="71">
        <f>B6/C6</f>
        <v>2.3257142857142856e-003</v>
      </c>
      <c r="E6" s="72">
        <v>53</v>
      </c>
      <c r="F6" s="73">
        <v>0.5</v>
      </c>
      <c r="G6" s="74">
        <v>0.69699999999999995</v>
      </c>
    </row>
    <row r="7">
      <c r="G7" s="21" t="s">
        <v>37</v>
      </c>
    </row>
    <row r="8">
      <c r="G8" s="23">
        <v>1.4999999999999999e-002</v>
      </c>
    </row>
    <row r="9">
      <c r="G9" s="21" t="s">
        <v>38</v>
      </c>
    </row>
    <row r="10">
      <c r="G10" s="10">
        <f>G4+G2</f>
        <v>0.28036</v>
      </c>
    </row>
    <row r="11">
      <c r="G11" s="21" t="s">
        <v>39</v>
      </c>
    </row>
    <row r="12" ht="14.65">
      <c r="G12" s="27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2026-05-31T09:59:45Z</dcterms:modified>
</cp:coreProperties>
</file>