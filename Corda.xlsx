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rmoniche" sheetId="1" state="visible" r:id="rId1"/>
    <sheet name="2a armonica" sheetId="2" state="visible" r:id="rId2"/>
    <sheet name="Massa fissa" sheetId="3" state="visible" r:id="rId3"/>
    <sheet name="Massa lineare" sheetId="4" state="visible" r:id="rId4"/>
    <sheet name="Foglio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<sst xmlns="http://schemas.openxmlformats.org/spreadsheetml/2006/main" count="36" uniqueCount="36">
  <si>
    <t xml:space="preserve">Massa appesa (kg)</t>
  </si>
  <si>
    <t>Armonica</t>
  </si>
  <si>
    <t xml:space="preserve">Frequenza (Hz)</t>
  </si>
  <si>
    <t xml:space="preserve">Incertezza (Hz)</t>
  </si>
  <si>
    <t xml:space="preserve">Massa supporto (kg)</t>
  </si>
  <si>
    <t xml:space="preserve">Massa corda (kg)</t>
  </si>
  <si>
    <t xml:space="preserve">Massa 1 (kg)</t>
  </si>
  <si>
    <t xml:space="preserve">Incertezza sulla massa</t>
  </si>
  <si>
    <t xml:space="preserve">Massa 2 (kg</t>
  </si>
  <si>
    <t xml:space="preserve">Lunghezza corda (m)</t>
  </si>
  <si>
    <t xml:space="preserve">Massa 3</t>
  </si>
  <si>
    <t xml:space="preserve">Incertezza corda (m)</t>
  </si>
  <si>
    <t>μ</t>
  </si>
  <si>
    <t xml:space="preserve">Lunghezza tratto (m)</t>
  </si>
  <si>
    <t xml:space="preserve">Incertezza tratto (m)</t>
  </si>
  <si>
    <t xml:space="preserve">Massa appesa</t>
  </si>
  <si>
    <t xml:space="preserve">Massa 4</t>
  </si>
  <si>
    <t xml:space="preserve">Massa fissa (kg)</t>
  </si>
  <si>
    <t xml:space="preserve">Lunghezza (m)</t>
  </si>
  <si>
    <t xml:space="preserve">M corda (kg)</t>
  </si>
  <si>
    <t xml:space="preserve">dL [m]</t>
  </si>
  <si>
    <t xml:space="preserve">Massa fissa</t>
  </si>
  <si>
    <t>μ'</t>
  </si>
  <si>
    <t xml:space="preserve">Massa totale</t>
  </si>
  <si>
    <t xml:space="preserve">Incertezza sulla lunghezza</t>
  </si>
  <si>
    <t xml:space="preserve">Massa (kg)</t>
  </si>
  <si>
    <t xml:space="preserve">Massa lineare (kg/m)</t>
  </si>
  <si>
    <t xml:space="preserve">Corda viola</t>
  </si>
  <si>
    <t xml:space="preserve">Corda verde fluo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</si>
  <si>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</si>
  <si>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</si>
  <si>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</si>
  <si>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</si>
  <si>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</si>
  <si>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</si>
  <si>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Allungamento (mm)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</si>
</sst>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rgb="FFFFC000"/>
      </patternFill>
    </fill>
    <fill>
      <patternFill patternType="solid">
        <fgColor theme="5"/>
      </patternFill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4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2" numFmtId="164" xfId="0" applyNumberFormat="1" applyBorder="1" applyAlignment="1">
      <alignment horizontal="left" indent="12"/>
    </xf>
    <xf fontId="0" fillId="0" borderId="3" numFmtId="0" xfId="0" applyBorder="1"/>
    <xf fontId="0" fillId="0" borderId="7" numFmtId="165" xfId="0" applyNumberFormat="1" applyBorder="1"/>
    <xf fontId="0" fillId="0" borderId="8" numFmtId="165" xfId="0" applyNumberFormat="1" applyBorder="1"/>
    <xf fontId="0" fillId="0" borderId="5" numFmtId="0" xfId="0" applyBorder="1"/>
    <xf fontId="0" fillId="0" borderId="0" numFmtId="164" xfId="0" applyNumberFormat="1" applyAlignment="1">
      <alignment horizontal="left" indent="12"/>
    </xf>
    <xf fontId="0" fillId="0" borderId="7" numFmtId="0" xfId="0" applyBorder="1"/>
    <xf fontId="0" fillId="2" borderId="7" numFmtId="165" xfId="0" applyNumberFormat="1" applyFill="1" applyBorder="1"/>
    <xf fontId="0" fillId="2" borderId="8" numFmtId="165" xfId="0" applyNumberFormat="1" applyFill="1" applyBorder="1"/>
    <xf fontId="0" fillId="0" borderId="9" numFmtId="0" xfId="0" applyBorder="1"/>
    <xf fontId="0" fillId="0" borderId="10" numFmtId="164" xfId="0" applyNumberFormat="1" applyBorder="1" applyAlignment="1">
      <alignment horizontal="left" indent="12"/>
    </xf>
    <xf fontId="0" fillId="0" borderId="11" numFmtId="0" xfId="0" applyBorder="1"/>
    <xf fontId="0" fillId="2" borderId="8" numFmtId="0" xfId="0" applyFill="1" applyBorder="1"/>
    <xf fontId="0" fillId="4" borderId="6" numFmtId="0" xfId="0" applyFill="1" applyBorder="1" applyAlignment="1">
      <alignment horizontal="center" vertical="center"/>
    </xf>
    <xf fontId="0" fillId="0" borderId="8" numFmtId="0" xfId="0" applyBorder="1"/>
    <xf fontId="0" fillId="0" borderId="11" numFmtId="165" xfId="0" applyNumberFormat="1" applyBorder="1"/>
    <xf fontId="0" fillId="0" borderId="12" numFmtId="0" xfId="0" applyBorder="1"/>
    <xf fontId="0" fillId="0" borderId="4" numFmtId="0" xfId="0" applyBorder="1" applyAlignment="1">
      <alignment horizontal="center" vertical="center"/>
    </xf>
    <xf fontId="0" fillId="0" borderId="12" numFmtId="165" xfId="0" applyNumberFormat="1" applyBorder="1"/>
    <xf fontId="0" fillId="5" borderId="6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5" numFmtId="165" xfId="0" applyNumberFormat="1" applyBorder="1"/>
    <xf fontId="0" fillId="0" borderId="8" numFmtId="166" xfId="0" applyNumberFormat="1" applyBorder="1"/>
    <xf fontId="0" fillId="2" borderId="8" numFmtId="166" xfId="0" applyNumberFormat="1" applyFill="1" applyBorder="1"/>
    <xf fontId="0" fillId="0" borderId="12" numFmtId="166" xfId="0" applyNumberFormat="1" applyBorder="1"/>
    <xf fontId="0" fillId="0" borderId="9" numFmtId="165" xfId="0" applyNumberFormat="1" applyBorder="1"/>
    <xf fontId="0" fillId="0" borderId="10" numFmtId="1" xfId="0" applyNumberFormat="1" applyBorder="1"/>
    <xf fontId="0" fillId="0" borderId="10" numFmtId="0" xfId="0" applyBorder="1"/>
    <xf fontId="1" fillId="0" borderId="0" numFmtId="0" xfId="0" applyFont="1"/>
    <xf fontId="0" fillId="6" borderId="0" numFmtId="0" xfId="0" applyFill="1"/>
    <xf fontId="0" fillId="3" borderId="0" numFmtId="0" xfId="0" applyFill="1"/>
    <xf fontId="0" fillId="2" borderId="6" numFmtId="0" xfId="0" applyFill="1" applyBorder="1"/>
    <xf fontId="0" fillId="0" borderId="0" numFmtId="164" xfId="0" applyNumberFormat="1" applyAlignment="1">
      <alignment horizontal="left" indent="7"/>
    </xf>
    <xf fontId="0" fillId="0" borderId="0" numFmtId="165" xfId="0" applyNumberFormat="1"/>
    <xf fontId="0" fillId="2" borderId="5" numFmtId="165" xfId="0" applyNumberFormat="1" applyFill="1" applyBorder="1"/>
    <xf fontId="0" fillId="0" borderId="5" numFmtId="166" xfId="0" applyNumberFormat="1" applyBorder="1"/>
    <xf fontId="0" fillId="2" borderId="7" numFmtId="166" xfId="0" applyNumberFormat="1" applyFill="1" applyBorder="1"/>
    <xf fontId="0" fillId="0" borderId="0" numFmtId="166" xfId="0" applyNumberFormat="1"/>
    <xf fontId="0" fillId="2" borderId="5" numFmtId="0" xfId="0" applyFill="1" applyBorder="1"/>
    <xf fontId="0" fillId="0" borderId="0" numFmtId="167" xfId="0" applyNumberFormat="1"/>
    <xf fontId="0" fillId="0" borderId="0" numFmtId="164" xfId="0" applyNumberFormat="1"/>
    <xf fontId="0" fillId="2" borderId="9" numFmtId="0" xfId="0" applyFill="1" applyBorder="1"/>
    <xf fontId="0" fillId="0" borderId="10" numFmtId="167" xfId="0" applyNumberFormat="1" applyBorder="1"/>
    <xf fontId="0" fillId="0" borderId="10" numFmtId="164" xfId="0" applyNumberFormat="1" applyBorder="1"/>
    <xf fontId="0" fillId="0" borderId="8" numFmtId="2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</row>
    <row r="2">
      <c r="A2" s="6">
        <f>0.04986+A6</f>
        <v>0.13047999999999998</v>
      </c>
      <c r="B2" s="7">
        <v>1</v>
      </c>
      <c r="C2" s="8">
        <v>20</v>
      </c>
      <c r="D2" s="9">
        <v>0.10000000000000001</v>
      </c>
      <c r="E2" s="10">
        <v>8.0619999999999997e-002</v>
      </c>
      <c r="F2" s="11">
        <v>5.2199999999999998e-003</v>
      </c>
    </row>
    <row r="3">
      <c r="A3" s="6"/>
      <c r="B3" s="12">
        <v>2</v>
      </c>
      <c r="C3" s="13">
        <v>40</v>
      </c>
      <c r="D3" s="14">
        <v>0.10000000000000001</v>
      </c>
      <c r="E3" s="15" t="s">
        <v>6</v>
      </c>
      <c r="F3" s="16" t="s">
        <v>7</v>
      </c>
    </row>
    <row r="4">
      <c r="A4" s="6"/>
      <c r="B4" s="12">
        <v>3</v>
      </c>
      <c r="C4" s="13">
        <v>60.049999999999997</v>
      </c>
      <c r="D4" s="14">
        <v>0.10000000000000001</v>
      </c>
      <c r="E4" s="10">
        <v>9.9900000000000006e-003</v>
      </c>
      <c r="F4" s="11">
        <v>5.0000000000000001e-004</v>
      </c>
    </row>
    <row r="5" ht="14.65">
      <c r="A5" s="6"/>
      <c r="B5" s="17">
        <v>4</v>
      </c>
      <c r="C5" s="18">
        <v>80.049999999999997</v>
      </c>
      <c r="D5" s="19">
        <v>0.10000000000000001</v>
      </c>
      <c r="E5" s="15" t="s">
        <v>8</v>
      </c>
      <c r="F5" s="20" t="s">
        <v>9</v>
      </c>
    </row>
    <row r="6" ht="14.65">
      <c r="A6" s="21">
        <f>E2</f>
        <v>8.0619999999999997e-002</v>
      </c>
      <c r="B6" s="7">
        <v>1</v>
      </c>
      <c r="C6" s="8">
        <v>16</v>
      </c>
      <c r="D6" s="9">
        <v>0.10000000000000001</v>
      </c>
      <c r="E6" s="10">
        <v>1.9970000000000002e-002</v>
      </c>
      <c r="F6" s="22">
        <v>2.4870000000000001</v>
      </c>
    </row>
    <row r="7" ht="14.65">
      <c r="A7" s="21"/>
      <c r="B7" s="12">
        <v>2</v>
      </c>
      <c r="C7" s="13">
        <v>32</v>
      </c>
      <c r="D7" s="14">
        <v>0.10000000000000001</v>
      </c>
      <c r="E7" s="15" t="s">
        <v>10</v>
      </c>
      <c r="F7" s="20" t="s">
        <v>11</v>
      </c>
    </row>
    <row r="8" ht="14.65">
      <c r="A8" s="21"/>
      <c r="B8" s="12">
        <v>3</v>
      </c>
      <c r="C8" s="13">
        <v>48.049999999999997</v>
      </c>
      <c r="D8" s="14">
        <v>0.10000000000000001</v>
      </c>
      <c r="E8" s="23">
        <v>0.19974</v>
      </c>
      <c r="F8" s="24">
        <v>1.4999999999999999e-002</v>
      </c>
    </row>
    <row r="9" ht="14.65">
      <c r="A9" s="21"/>
      <c r="B9" s="17">
        <v>4</v>
      </c>
      <c r="C9" s="18">
        <v>64.099999999999994</v>
      </c>
      <c r="D9" s="19">
        <v>0.10000000000000001</v>
      </c>
      <c r="F9" s="20" t="s">
        <v>12</v>
      </c>
    </row>
    <row r="10" ht="14.65">
      <c r="A10" s="25">
        <v>9.9900000000000006e-003</v>
      </c>
      <c r="B10" s="7">
        <v>1</v>
      </c>
      <c r="C10" s="8">
        <v>17.100000000000001</v>
      </c>
      <c r="D10" s="9">
        <v>0.10000000000000001</v>
      </c>
      <c r="F10" s="26">
        <f>F2/F6</f>
        <v>2.0989143546441495e-003</v>
      </c>
    </row>
    <row r="11" ht="14.65">
      <c r="A11" s="25"/>
      <c r="B11" s="12">
        <v>2</v>
      </c>
      <c r="C11" s="13">
        <v>34.450000000000003</v>
      </c>
      <c r="D11" s="14">
        <v>0.10000000000000001</v>
      </c>
      <c r="F11" s="20" t="s">
        <v>13</v>
      </c>
    </row>
    <row r="12" ht="14.65">
      <c r="A12" s="25"/>
      <c r="B12" s="12">
        <v>3</v>
      </c>
      <c r="C12" s="13">
        <v>51.850000000000001</v>
      </c>
      <c r="D12" s="14">
        <v>0.10000000000000001</v>
      </c>
      <c r="F12" s="24">
        <v>0.65690000000000004</v>
      </c>
    </row>
    <row r="13" ht="14.65">
      <c r="A13" s="25"/>
      <c r="B13" s="17">
        <v>4</v>
      </c>
      <c r="C13" s="18">
        <v>69.099999999999994</v>
      </c>
      <c r="D13" s="19">
        <v>0.10000000000000001</v>
      </c>
      <c r="F13" s="20" t="s">
        <v>14</v>
      </c>
    </row>
    <row r="14" ht="14.65">
      <c r="F14" s="24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1.73046875"/>
    <col bestFit="1" customWidth="1" min="2" max="2" width="12.53125"/>
    <col bestFit="1" customWidth="1" min="3" max="3" width="12.39843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15</v>
      </c>
      <c r="B1" s="2" t="s">
        <v>2</v>
      </c>
      <c r="C1" s="2" t="s">
        <v>3</v>
      </c>
      <c r="D1" s="5" t="s">
        <v>5</v>
      </c>
      <c r="E1" s="4" t="s">
        <v>4</v>
      </c>
    </row>
    <row r="2">
      <c r="A2" s="28">
        <f>E10+E2</f>
        <v>0.13047999999999998</v>
      </c>
      <c r="B2" s="29">
        <v>40</v>
      </c>
      <c r="C2">
        <v>1</v>
      </c>
      <c r="D2" s="11">
        <v>5.2199999999999998e-003</v>
      </c>
      <c r="E2" s="10">
        <v>8.0619999999999997e-002</v>
      </c>
    </row>
    <row r="3">
      <c r="A3" s="30">
        <f>E2</f>
        <v>8.0619999999999997e-002</v>
      </c>
      <c r="B3" s="29">
        <v>32</v>
      </c>
      <c r="C3">
        <v>1</v>
      </c>
      <c r="D3" s="16" t="s">
        <v>7</v>
      </c>
      <c r="E3" s="15" t="s">
        <v>6</v>
      </c>
    </row>
    <row r="4">
      <c r="A4" s="28">
        <f>E4+E2</f>
        <v>9.0609999999999996e-002</v>
      </c>
      <c r="B4" s="29">
        <v>34.450000000000003</v>
      </c>
      <c r="C4">
        <v>1</v>
      </c>
      <c r="D4" s="11">
        <v>5.0000000000000001e-004</v>
      </c>
      <c r="E4" s="10">
        <v>9.9900000000000006e-003</v>
      </c>
    </row>
    <row r="5">
      <c r="A5" s="28">
        <f>E4+E6+E2</f>
        <v>0.11058</v>
      </c>
      <c r="B5" s="29">
        <v>36.700000000000003</v>
      </c>
      <c r="C5">
        <v>1</v>
      </c>
      <c r="D5" s="16" t="s">
        <v>9</v>
      </c>
      <c r="E5" s="15" t="s">
        <v>8</v>
      </c>
    </row>
    <row r="6">
      <c r="A6" s="28">
        <f>E10+E6+E2</f>
        <v>0.15045</v>
      </c>
      <c r="B6" s="29">
        <v>42.399999999999999</v>
      </c>
      <c r="C6">
        <v>1</v>
      </c>
      <c r="D6" s="31">
        <v>2.4870000000000001</v>
      </c>
      <c r="E6" s="10">
        <v>1.9970000000000002e-002</v>
      </c>
    </row>
    <row r="7">
      <c r="A7" s="28">
        <f>E10*2+E2</f>
        <v>0.18034</v>
      </c>
      <c r="B7" s="29">
        <v>46.549999999999997</v>
      </c>
      <c r="C7">
        <v>1</v>
      </c>
      <c r="D7" s="32" t="s">
        <v>11</v>
      </c>
      <c r="E7" s="15" t="s">
        <v>10</v>
      </c>
    </row>
    <row r="8" ht="14.65">
      <c r="A8" s="30">
        <f>E8+E2</f>
        <v>0.28036</v>
      </c>
      <c r="B8" s="29">
        <v>57.049999999999997</v>
      </c>
      <c r="C8">
        <v>1</v>
      </c>
      <c r="D8" s="33">
        <v>1.4999999999999999e-002</v>
      </c>
      <c r="E8" s="10">
        <v>0.19974</v>
      </c>
    </row>
    <row r="9" ht="14.65">
      <c r="A9" s="34">
        <f>E10*2+E8+E2</f>
        <v>0.38007999999999997</v>
      </c>
      <c r="B9" s="35">
        <v>65.349999999999994</v>
      </c>
      <c r="C9" s="36">
        <v>1</v>
      </c>
      <c r="D9" s="16" t="s">
        <v>12</v>
      </c>
      <c r="E9" s="15" t="s">
        <v>16</v>
      </c>
    </row>
    <row r="10" ht="14.65">
      <c r="D10" s="26">
        <f>D2/D6</f>
        <v>2.0989143546441495e-003</v>
      </c>
      <c r="E10" s="23">
        <v>4.9860000000000002e-002</v>
      </c>
    </row>
    <row r="11">
      <c r="D11" s="16" t="s">
        <v>13</v>
      </c>
    </row>
    <row r="12" ht="14.65">
      <c r="D12" s="26">
        <v>0.65690000000000004</v>
      </c>
      <c r="H12" s="37"/>
    </row>
    <row r="13">
      <c r="D13" s="16" t="s">
        <v>14</v>
      </c>
    </row>
    <row r="14" ht="14.65">
      <c r="D14" s="26">
        <v>1.4999999999999999e-002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06640625"/>
    <col bestFit="1" customWidth="1" min="2" max="2" width="12"/>
    <col bestFit="1" customWidth="1" min="3" max="3" width="12.796875"/>
    <col bestFit="1" customWidth="1" min="4" max="4" width="12.3984375"/>
    <col bestFit="1" customWidth="1" min="5" max="5" width="18.3984375"/>
    <col bestFit="1" customWidth="1" min="6" max="7" width="21.1328125"/>
    <col bestFit="1" customWidth="1" min="8" max="8" width="6.46484375"/>
  </cols>
  <sheetData>
    <row r="1">
      <c r="A1" s="38" t="s">
        <v>17</v>
      </c>
      <c r="B1" s="39" t="s">
        <v>18</v>
      </c>
      <c r="C1" s="39" t="s">
        <v>2</v>
      </c>
      <c r="D1" s="39" t="s">
        <v>3</v>
      </c>
      <c r="E1" s="20" t="s">
        <v>4</v>
      </c>
      <c r="F1" s="40" t="s">
        <v>19</v>
      </c>
      <c r="G1" s="5" t="s">
        <v>20</v>
      </c>
    </row>
    <row r="2" ht="14.65">
      <c r="A2">
        <v>0.19974</v>
      </c>
      <c r="B2" s="24">
        <v>0.65700000000000003</v>
      </c>
      <c r="C2" s="41">
        <v>57.049999999999997</v>
      </c>
      <c r="D2">
        <v>0.5</v>
      </c>
      <c r="E2" s="42">
        <v>8.0619999999999997e-002</v>
      </c>
      <c r="F2" s="30">
        <v>5.2199999999999998e-003</v>
      </c>
      <c r="G2" s="11">
        <v>7.1999999999999998e-003</v>
      </c>
    </row>
    <row r="3">
      <c r="B3">
        <v>0.82199999999999995</v>
      </c>
      <c r="C3" s="41">
        <v>46.200000000000003</v>
      </c>
      <c r="D3">
        <v>0.5</v>
      </c>
      <c r="E3" s="15" t="s">
        <v>21</v>
      </c>
      <c r="F3" s="15" t="s">
        <v>7</v>
      </c>
      <c r="G3" s="16" t="s">
        <v>22</v>
      </c>
    </row>
    <row r="4" ht="14.65">
      <c r="B4">
        <v>0.54200000000000004</v>
      </c>
      <c r="C4" s="41">
        <v>69.049999999999997</v>
      </c>
      <c r="D4">
        <v>0.5</v>
      </c>
      <c r="E4" s="42">
        <v>0.19974</v>
      </c>
      <c r="F4" s="42">
        <v>5.0000000000000001e-004</v>
      </c>
      <c r="G4" s="26">
        <f>F2/(F6+G2)</f>
        <v>2.0928554245850371e-003</v>
      </c>
    </row>
    <row r="5">
      <c r="B5">
        <v>0.41099999999999998</v>
      </c>
      <c r="C5" s="41">
        <v>91.75</v>
      </c>
      <c r="D5">
        <v>0.5</v>
      </c>
      <c r="E5" s="15" t="s">
        <v>23</v>
      </c>
      <c r="F5" s="43" t="s">
        <v>9</v>
      </c>
      <c r="G5" s="42"/>
    </row>
    <row r="6">
      <c r="B6">
        <v>0.96599999999999997</v>
      </c>
      <c r="C6" s="41">
        <v>38.649999999999999</v>
      </c>
      <c r="D6">
        <v>0.5</v>
      </c>
      <c r="E6" s="42">
        <f>E4+E2</f>
        <v>0.28036</v>
      </c>
      <c r="F6" s="44">
        <v>2.4870000000000001</v>
      </c>
      <c r="G6" s="42"/>
    </row>
    <row r="7">
      <c r="B7">
        <v>1.123</v>
      </c>
      <c r="C7" s="41">
        <v>32.950000000000003</v>
      </c>
      <c r="D7">
        <v>0.5</v>
      </c>
      <c r="E7" s="15" t="s">
        <v>7</v>
      </c>
      <c r="F7" s="45" t="s">
        <v>24</v>
      </c>
      <c r="G7" s="42"/>
    </row>
    <row r="8">
      <c r="E8" s="42">
        <v>5.0000000000000001e-004</v>
      </c>
      <c r="F8" s="46">
        <v>1.4999999999999999e-002</v>
      </c>
      <c r="G8" s="42"/>
    </row>
    <row r="9">
      <c r="E9" s="42"/>
      <c r="F9" s="16" t="s">
        <v>12</v>
      </c>
      <c r="G9" s="42"/>
    </row>
    <row r="10" ht="14.65">
      <c r="E10" s="42"/>
      <c r="F10" s="26">
        <f>F2/F6</f>
        <v>2.0989143546441495e-003</v>
      </c>
      <c r="G10" s="4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"/>
    <col bestFit="1" customWidth="1" min="3" max="3" width="12"/>
    <col bestFit="1" customWidth="1" min="4" max="4" width="16.9296875"/>
    <col bestFit="1" customWidth="1" min="5" max="5" width="12.46484375"/>
    <col bestFit="1" customWidth="1" min="6" max="6" width="12.33203125"/>
    <col bestFit="1" customWidth="1" min="7" max="8" width="22.9296875"/>
    <col bestFit="1" customWidth="1" min="9" max="9" width="13.33203125"/>
  </cols>
  <sheetData>
    <row r="1">
      <c r="A1" s="7"/>
      <c r="B1" s="2" t="s">
        <v>25</v>
      </c>
      <c r="C1" s="2" t="s">
        <v>18</v>
      </c>
      <c r="D1" s="2" t="s">
        <v>26</v>
      </c>
      <c r="E1" s="2" t="s">
        <v>2</v>
      </c>
      <c r="F1" s="2" t="s">
        <v>3</v>
      </c>
      <c r="G1" s="5" t="s">
        <v>4</v>
      </c>
    </row>
    <row r="2">
      <c r="A2" s="47" t="s">
        <v>27</v>
      </c>
      <c r="B2">
        <v>4.0699999999999998e-003</v>
      </c>
      <c r="C2">
        <v>1.75</v>
      </c>
      <c r="D2" s="48">
        <f t="shared" ref="D2:D6" si="0">B2/C2</f>
        <v>2.3257142857142856e-003</v>
      </c>
      <c r="E2" s="49">
        <v>52.799999999999997</v>
      </c>
      <c r="F2">
        <v>0.5</v>
      </c>
      <c r="G2" s="11">
        <v>8.0619999999999997e-002</v>
      </c>
    </row>
    <row r="3">
      <c r="A3" s="47" t="s">
        <v>28</v>
      </c>
      <c r="B3">
        <v>3.3300000000000001e-003</v>
      </c>
      <c r="C3">
        <v>1.46</v>
      </c>
      <c r="D3" s="48">
        <f t="shared" si="0"/>
        <v>2.2808219178082193e-003</v>
      </c>
      <c r="E3" s="49">
        <v>52.350000000000001</v>
      </c>
      <c r="F3">
        <v>0.5</v>
      </c>
      <c r="G3" s="20" t="s">
        <v>21</v>
      </c>
    </row>
    <row r="4">
      <c r="A4" s="47" t="s">
        <v>29</v>
      </c>
      <c r="B4">
        <v>5.8500000000000002e-003</v>
      </c>
      <c r="C4">
        <v>2.4700000000000002</v>
      </c>
      <c r="D4" s="48">
        <f t="shared" si="0"/>
        <v>2.3684210526315787e-003</v>
      </c>
      <c r="E4" s="49">
        <v>51.75</v>
      </c>
      <c r="F4">
        <v>0.5</v>
      </c>
      <c r="G4" s="11">
        <v>0.19974</v>
      </c>
    </row>
    <row r="5">
      <c r="A5" s="47" t="s">
        <v>30</v>
      </c>
      <c r="B5">
        <v>5.0499999999999998e-003</v>
      </c>
      <c r="C5">
        <v>2.5</v>
      </c>
      <c r="D5" s="48">
        <f t="shared" si="0"/>
        <v>2.0200000000000001e-003</v>
      </c>
      <c r="E5" s="49">
        <v>55.049999999999997</v>
      </c>
      <c r="F5">
        <v>0.5</v>
      </c>
      <c r="G5" s="20" t="s">
        <v>31</v>
      </c>
    </row>
    <row r="6" ht="14.65">
      <c r="A6" s="50" t="s">
        <v>32</v>
      </c>
      <c r="B6" s="36">
        <v>5.2199999999999998e-003</v>
      </c>
      <c r="C6" s="36">
        <v>2.4870000000000001</v>
      </c>
      <c r="D6" s="51">
        <f t="shared" si="0"/>
        <v>2.0989143546441495e-003</v>
      </c>
      <c r="E6" s="52">
        <v>53.850000000000001</v>
      </c>
      <c r="F6" s="36">
        <v>0.5</v>
      </c>
      <c r="G6" s="53">
        <v>0.69699999999999995</v>
      </c>
    </row>
    <row r="7">
      <c r="G7" s="20" t="s">
        <v>33</v>
      </c>
    </row>
    <row r="8">
      <c r="G8" s="22">
        <v>2.e-002</v>
      </c>
    </row>
    <row r="9">
      <c r="G9" s="20" t="s">
        <v>34</v>
      </c>
    </row>
    <row r="10">
      <c r="G10" s="11">
        <f>G4+G2</f>
        <v>0.28036</v>
      </c>
    </row>
    <row r="11">
      <c r="G11" s="20" t="s">
        <v>7</v>
      </c>
    </row>
    <row r="12" ht="14.65">
      <c r="G12" s="26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6.3984375"/>
  </cols>
  <sheetData>
    <row r="1">
      <c r="A1" t="s">
        <v>35</v>
      </c>
    </row>
    <row r="2">
      <c r="A2">
        <v>7.2000000000000002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2026-05-05T08:39:49Z</dcterms:created>
  <dcterms:modified xsi:type="dcterms:W3CDTF">2026-05-30T21:41:35Z</dcterms:modified>
</cp:coreProperties>
</file>