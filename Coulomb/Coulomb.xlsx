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sharedStrings.xml" ContentType="application/vnd.openxmlformats-officedocument.spreadsheetml.sharedStrings+xml"/>
  <Override PartName="/customXml/itemProps3.xml" ContentType="application/vnd.openxmlformats-officedocument.customXml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Angolo" sheetId="1" state="visible" r:id="rId5"/>
    <sheet name="Potenziale uguale" sheetId="2" state="visible" r:id="rId6"/>
    <sheet name="Potenziale diverso" sheetId="3" state="visible" r:id="rId7"/>
    <sheet name="Costante di torsione" sheetId="4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<sst xmlns="http://schemas.openxmlformats.org/spreadsheetml/2006/main" count="20" uniqueCount="20">
  <si>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 xml:space="preserve">r [m]</t>
  </si>
  <si>
    <t xml:space="preserve">d [m]</t>
  </si>
  <si>
    <t xml:space="preserve">θ [°]</t>
  </si>
  <si>
    <t xml:space="preserve">σd [m]</t>
  </si>
  <si>
    <t xml:space="preserve">M [°]</t>
  </si>
  <si>
    <t xml:space="preserve">M [rad]</t>
  </si>
  <si>
    <t xml:space="preserve">σ [°]</t>
  </si>
  <si>
    <t xml:space="preserve">σ [rad]</t>
  </si>
  <si>
    <t xml:space="preserve">σM [°]</t>
  </si>
  <si>
    <t xml:space="preserve">σM [rad]</t>
  </si>
  <si>
    <r>
      <rPr>
        <sz val="11"/>
        <color theme="1"/>
        <rFont val="Aptos Narrow"/>
        <scheme val="minor"/>
      </rPr>
      <t>r</t>
    </r>
    <r>
      <rPr>
        <vertAlign val="subscript"/>
        <sz val="11"/>
        <color theme="1"/>
        <rFont val="Aptos Narrow"/>
        <scheme val="minor"/>
      </rPr>
      <t>eff</t>
    </r>
    <r>
      <rPr>
        <sz val="11"/>
        <color theme="1"/>
        <rFont val="Aptos Narrow"/>
        <scheme val="minor"/>
      </rPr>
      <t xml:space="preserve"> [m]</t>
    </r>
  </si>
  <si>
    <t xml:space="preserve">σr [m]</t>
  </si>
  <si>
    <t xml:space="preserve">V [V]</t>
  </si>
  <si>
    <t xml:space="preserve">σV [V] </t>
  </si>
  <si>
    <t xml:space="preserve">θ [rad]</t>
  </si>
  <si>
    <t xml:space="preserve">σθ [rad]</t>
  </si>
  <si>
    <t xml:space="preserve">                                                                                                       </t>
  </si>
  <si>
    <t xml:space="preserve">σV [V]</t>
  </si>
  <si>
    <t xml:space="preserve">V fisso</t>
  </si>
  <si>
    <t xml:space="preserve">m [kg]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</si>
</sst>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3">
    <font>
      <sz val="11.000000"/>
      <color theme="1"/>
      <name val="Aptos Narrow"/>
      <scheme val="minor"/>
    </font>
    <font>
      <u/>
      <sz val="11.000000"/>
      <color theme="1"/>
      <name val="Aptos Narrow"/>
      <scheme val="minor"/>
    </font>
    <font>
      <sz val="11.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FFC000"/>
        <bgColor rgb="FFFFC000"/>
      </patternFill>
    </fill>
  </fills>
  <borders count="15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/>
    <xf fontId="0" fillId="2" borderId="1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</xf>
    <xf fontId="0" fillId="2" borderId="3" numFmtId="0" xfId="0" applyFill="1" applyBorder="1" applyAlignment="1">
      <alignment horizontal="center"/>
    </xf>
    <xf fontId="0" fillId="2" borderId="4" numFmtId="0" xfId="0" applyFill="1" applyBorder="1"/>
    <xf fontId="0" fillId="3" borderId="4" numFmtId="0" xfId="0" applyFill="1" applyBorder="1"/>
    <xf fontId="0" fillId="3" borderId="4" numFmtId="2" xfId="0" applyNumberFormat="1" applyFill="1" applyBorder="1"/>
    <xf fontId="0" fillId="0" borderId="5" numFmtId="164" xfId="0" applyNumberFormat="1" applyBorder="1"/>
    <xf fontId="0" fillId="2" borderId="6" numFmtId="0" xfId="0" applyFill="1" applyBorder="1" applyAlignment="1">
      <alignment horizontal="center" vertical="center"/>
    </xf>
    <xf fontId="0" fillId="0" borderId="7" numFmtId="0" xfId="0" applyBorder="1"/>
    <xf fontId="0" fillId="0" borderId="8" numFmtId="0" xfId="0" applyBorder="1"/>
    <xf fontId="0" fillId="2" borderId="5" numFmtId="0" xfId="0" applyFill="1" applyBorder="1" applyAlignment="1">
      <alignment horizontal="center" vertical="center"/>
    </xf>
    <xf fontId="0" fillId="0" borderId="9" numFmtId="0" xfId="0" applyBorder="1"/>
    <xf fontId="0" fillId="0" borderId="10" numFmtId="0" xfId="0" applyBorder="1"/>
    <xf fontId="0" fillId="0" borderId="0" numFmtId="0" xfId="0"/>
    <xf fontId="0" fillId="2" borderId="10" numFmtId="0" xfId="0" applyFill="1" applyBorder="1" applyAlignment="1">
      <alignment horizontal="center" vertical="center"/>
    </xf>
    <xf fontId="0" fillId="0" borderId="11" numFmtId="0" xfId="0" applyBorder="1"/>
    <xf fontId="0" fillId="0" borderId="12" numFmtId="0" xfId="0" applyBorder="1"/>
    <xf fontId="0" fillId="2" borderId="6" numFmtId="0" xfId="0" applyFill="1" applyBorder="1"/>
    <xf fontId="0" fillId="0" borderId="7" numFmtId="165" xfId="0" applyNumberFormat="1" applyBorder="1"/>
    <xf fontId="0" fillId="0" borderId="8" numFmtId="165" xfId="0" applyNumberFormat="1" applyBorder="1"/>
    <xf fontId="0" fillId="2" borderId="5" numFmtId="0" xfId="0" applyFill="1" applyBorder="1"/>
    <xf fontId="0" fillId="0" borderId="0" numFmtId="2" xfId="0" applyNumberFormat="1"/>
    <xf fontId="0" fillId="0" borderId="9" numFmtId="2" xfId="0" applyNumberFormat="1" applyBorder="1"/>
    <xf fontId="0" fillId="0" borderId="0" numFmtId="165" xfId="0" applyNumberFormat="1"/>
    <xf fontId="0" fillId="0" borderId="9" numFmtId="165" xfId="0" applyNumberFormat="1" applyBorder="1"/>
    <xf fontId="1" fillId="0" borderId="0" numFmtId="0" xfId="0" applyFont="1"/>
    <xf fontId="0" fillId="2" borderId="10" numFmtId="0" xfId="0" applyFill="1" applyBorder="1"/>
    <xf fontId="0" fillId="0" borderId="11" numFmtId="2" xfId="0" applyNumberFormat="1" applyBorder="1"/>
    <xf fontId="0" fillId="0" borderId="12" numFmtId="2" xfId="0" applyNumberFormat="1" applyBorder="1"/>
    <xf fontId="0" fillId="0" borderId="7" numFmtId="164" xfId="0" applyNumberFormat="1" applyBorder="1"/>
    <xf fontId="0" fillId="2" borderId="1" numFmtId="0" xfId="0" applyFill="1" applyBorder="1"/>
    <xf fontId="0" fillId="2" borderId="2" numFmtId="0" xfId="0" applyFill="1" applyBorder="1"/>
    <xf fontId="0" fillId="2" borderId="2" numFmtId="0" xfId="0" applyFill="1" applyBorder="1" applyAlignment="1">
      <alignment vertical="center"/>
    </xf>
    <xf fontId="0" fillId="2" borderId="3" numFmtId="0" xfId="0" applyFill="1" applyBorder="1"/>
    <xf fontId="0" fillId="0" borderId="13" numFmtId="0" xfId="0" applyBorder="1"/>
    <xf fontId="0" fillId="0" borderId="14" numFmtId="0" xfId="0" applyBorder="1"/>
    <xf fontId="2" fillId="2" borderId="4" numFmtId="0" xfId="0" applyFont="1" applyFill="1" applyBorder="1"/>
    <xf fontId="0" fillId="0" borderId="0" numFmtId="0" xfId="0">
      <protection hidden="0" locked="1"/>
    </xf>
    <xf fontId="2" fillId="0" borderId="11" numFmtId="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customXml" Target="../customXml/item4.xml"/><Relationship  Id="rId5" Type="http://schemas.openxmlformats.org/officeDocument/2006/relationships/worksheet" Target="worksheets/sheet1.xml"/><Relationship  Id="rId6" Type="http://schemas.openxmlformats.org/officeDocument/2006/relationships/worksheet" Target="worksheets/sheet2.xml"/><Relationship  Id="rId7" Type="http://schemas.openxmlformats.org/officeDocument/2006/relationships/worksheet" Target="worksheets/sheet3.xml"/><Relationship  Id="rId8" Type="http://schemas.openxmlformats.org/officeDocument/2006/relationships/worksheet" Target="worksheets/sheet4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25" activeCellId="0" sqref="G25"/>
    </sheetView>
  </sheetViews>
  <sheetFormatPr defaultRowHeight="14.25"/>
  <cols>
    <col bestFit="1" customWidth="1" min="1" max="1" width="14.125"/>
    <col bestFit="1" customWidth="1" min="2" max="6" width="14.33203125"/>
    <col bestFit="1" customWidth="1" min="7" max="7" width="7.54296875"/>
    <col bestFit="1" customWidth="1" min="8" max="8" width="9.00390625"/>
    <col bestFit="1" customWidth="1" min="9" max="9" width="6.1328125"/>
    <col bestFit="1" customWidth="1" min="10" max="10" width="9.86328125"/>
  </cols>
  <sheetData>
    <row r="1">
      <c r="B1" s="1" t="s">
        <v>0</v>
      </c>
      <c r="C1" s="2"/>
      <c r="D1" s="2"/>
      <c r="E1" s="2"/>
      <c r="F1" s="3"/>
      <c r="G1" s="4" t="s">
        <v>1</v>
      </c>
    </row>
    <row r="2">
      <c r="B2" s="5">
        <v>5.9999999999999998e-002</v>
      </c>
      <c r="C2" s="5">
        <v>8.0000000000000002e-002</v>
      </c>
      <c r="D2" s="6">
        <v>0.10000000000000001</v>
      </c>
      <c r="E2" s="5">
        <v>0.14999999999999999</v>
      </c>
      <c r="F2" s="5">
        <v>0.17999999999999999</v>
      </c>
      <c r="G2" s="7">
        <v>3.9e-002</v>
      </c>
    </row>
    <row r="3">
      <c r="A3" s="8" t="s">
        <v>2</v>
      </c>
      <c r="B3" s="9">
        <v>97</v>
      </c>
      <c r="C3" s="9">
        <v>70</v>
      </c>
      <c r="D3" s="9">
        <v>49</v>
      </c>
      <c r="E3" s="9">
        <v>28</v>
      </c>
      <c r="F3" s="10">
        <v>20</v>
      </c>
      <c r="G3" s="4" t="s">
        <v>3</v>
      </c>
    </row>
    <row r="4">
      <c r="A4" s="11"/>
      <c r="B4">
        <v>101</v>
      </c>
      <c r="C4">
        <v>68</v>
      </c>
      <c r="D4">
        <v>51</v>
      </c>
      <c r="E4">
        <v>28</v>
      </c>
      <c r="F4" s="12">
        <v>18</v>
      </c>
      <c r="G4" s="13">
        <v>1.e-003</v>
      </c>
      <c r="H4" s="14"/>
      <c r="I4" s="14"/>
    </row>
    <row r="5">
      <c r="A5" s="15"/>
      <c r="B5" s="16">
        <v>99</v>
      </c>
      <c r="C5" s="16">
        <v>71</v>
      </c>
      <c r="D5" s="16">
        <v>53</v>
      </c>
      <c r="E5" s="16">
        <v>31</v>
      </c>
      <c r="F5" s="17">
        <v>22</v>
      </c>
    </row>
    <row r="7">
      <c r="A7" s="18" t="s">
        <v>4</v>
      </c>
      <c r="B7" s="19">
        <f>AVERAGE(B3:B5)</f>
        <v>99</v>
      </c>
      <c r="C7" s="19">
        <f t="shared" ref="C7:F7" si="0">AVERAGE(C3:C5)</f>
        <v>69.666666666666671</v>
      </c>
      <c r="D7" s="19">
        <f t="shared" si="0"/>
        <v>51</v>
      </c>
      <c r="E7" s="19">
        <f t="shared" si="0"/>
        <v>29</v>
      </c>
      <c r="F7" s="20">
        <f t="shared" si="0"/>
        <v>20</v>
      </c>
    </row>
    <row r="8">
      <c r="A8" s="21" t="s">
        <v>5</v>
      </c>
      <c r="B8" s="22">
        <f t="shared" ref="B8:F8" si="1">RADIANS(B7)</f>
        <v>1.7278759594743864</v>
      </c>
      <c r="C8" s="22">
        <f t="shared" si="1"/>
        <v>1.2159127122227162</v>
      </c>
      <c r="D8" s="22">
        <f t="shared" si="1"/>
        <v>0.89011791851710798</v>
      </c>
      <c r="E8" s="22">
        <f t="shared" si="1"/>
        <v>0.50614548307835561</v>
      </c>
      <c r="F8" s="23">
        <f t="shared" si="1"/>
        <v>0.3490658503988659</v>
      </c>
    </row>
    <row r="9">
      <c r="A9" s="21" t="s">
        <v>6</v>
      </c>
      <c r="B9" s="24">
        <f>_xlfn.STDEV.S(B3:B5)</f>
        <v>2</v>
      </c>
      <c r="C9" s="24">
        <f t="shared" ref="C9:F9" si="2">_xlfn.STDEV.S(C3:C5)</f>
        <v>1.5275252316519468</v>
      </c>
      <c r="D9" s="24">
        <f t="shared" si="2"/>
        <v>2</v>
      </c>
      <c r="E9" s="24">
        <f t="shared" si="2"/>
        <v>1.7320508075688772</v>
      </c>
      <c r="F9" s="25">
        <f t="shared" si="2"/>
        <v>2</v>
      </c>
    </row>
    <row r="10">
      <c r="A10" s="21" t="s">
        <v>7</v>
      </c>
      <c r="B10" s="22">
        <f t="shared" ref="B10:F10" si="3">RADIANS(B9)</f>
        <v>3.4906585039886591e-002</v>
      </c>
      <c r="C10" s="22">
        <f t="shared" si="3"/>
        <v>2.6660344699615573e-002</v>
      </c>
      <c r="D10" s="22">
        <f t="shared" si="3"/>
        <v>3.4906585039886591e-002</v>
      </c>
      <c r="E10" s="22">
        <f t="shared" si="3"/>
        <v>3.0229989403903628e-002</v>
      </c>
      <c r="F10" s="23">
        <f t="shared" si="3"/>
        <v>3.4906585039886591e-002</v>
      </c>
      <c r="H10" s="26"/>
    </row>
    <row r="11">
      <c r="A11" s="21" t="s">
        <v>8</v>
      </c>
      <c r="B11" s="24">
        <f>B9/SQRT(3)</f>
        <v>1.1547005383792517</v>
      </c>
      <c r="C11" s="24">
        <f>C9/SQRT(3)</f>
        <v>0.88191710368819698</v>
      </c>
      <c r="D11" s="24">
        <f>D9/SQRT(3)</f>
        <v>1.1547005383792517</v>
      </c>
      <c r="E11" s="24">
        <f>E9/SQRT(3)</f>
        <v>1</v>
      </c>
      <c r="F11" s="25">
        <f>F9/SQRT(3)</f>
        <v>1.1547005383792517</v>
      </c>
    </row>
    <row r="12">
      <c r="A12" s="27" t="s">
        <v>9</v>
      </c>
      <c r="B12" s="28">
        <f t="shared" ref="B12:F12" si="4">RADIANS(B11)</f>
        <v>2.0153326269269089e-002</v>
      </c>
      <c r="C12" s="28">
        <f t="shared" si="4"/>
        <v>1.5392357189011264e-002</v>
      </c>
      <c r="D12" s="28">
        <f t="shared" si="4"/>
        <v>2.0153326269269089e-002</v>
      </c>
      <c r="E12" s="28">
        <f t="shared" si="4"/>
        <v>1.7453292519943295e-002</v>
      </c>
      <c r="F12" s="29">
        <f t="shared" si="4"/>
        <v>2.0153326269269089e-002</v>
      </c>
    </row>
    <row r="14" ht="15.75">
      <c r="A14" s="18" t="s">
        <v>10</v>
      </c>
      <c r="B14" s="30">
        <f>B2+$G$2</f>
        <v>9.9000000000000005e-002</v>
      </c>
      <c r="C14" s="9">
        <f>C2+$G$2</f>
        <v>0.11899999999999999</v>
      </c>
      <c r="D14" s="9">
        <f>D2+$G$2</f>
        <v>0.13900000000000001</v>
      </c>
      <c r="E14" s="9">
        <f>E2+$G$2</f>
        <v>0.189</v>
      </c>
      <c r="F14" s="10">
        <f>F2+$G$2</f>
        <v>0.219</v>
      </c>
    </row>
    <row r="15">
      <c r="A15" s="27" t="s">
        <v>11</v>
      </c>
      <c r="B15" s="16">
        <v>1.e-003</v>
      </c>
      <c r="C15" s="16">
        <v>1.e-003</v>
      </c>
      <c r="D15" s="16">
        <v>1.e-003</v>
      </c>
      <c r="E15" s="16">
        <v>1.e-003</v>
      </c>
      <c r="F15" s="17">
        <v>1.e-003</v>
      </c>
    </row>
  </sheetData>
  <mergeCells count="2">
    <mergeCell ref="B1:F1"/>
    <mergeCell ref="A3:A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6" activeCellId="0" sqref="K16"/>
    </sheetView>
  </sheetViews>
  <sheetFormatPr defaultRowHeight="14.25"/>
  <cols>
    <col customWidth="1" min="1" max="1" width="14.265625"/>
    <col bestFit="1" min="2" max="2" width="9.53125"/>
    <col bestFit="1" customWidth="1" min="4" max="4" width="11.265625"/>
    <col bestFit="1" min="5" max="5" width="9.53125"/>
    <col bestFit="1" min="6" max="6" width="7.1328125"/>
    <col customWidth="1" min="12" max="12" width="13.86328125"/>
  </cols>
  <sheetData>
    <row r="1">
      <c r="A1" s="31" t="s">
        <v>12</v>
      </c>
      <c r="B1" s="32" t="s">
        <v>13</v>
      </c>
      <c r="C1" s="33" t="s">
        <v>2</v>
      </c>
      <c r="D1" s="32" t="s">
        <v>14</v>
      </c>
      <c r="E1" s="34" t="s">
        <v>15</v>
      </c>
    </row>
    <row r="2">
      <c r="A2" s="35">
        <v>6000</v>
      </c>
      <c r="B2">
        <v>60</v>
      </c>
      <c r="C2">
        <v>70</v>
      </c>
      <c r="D2" s="22">
        <f t="shared" ref="D2:D9" si="5">RADIANS(C2)</f>
        <v>1.2217304763960306</v>
      </c>
      <c r="E2" s="23">
        <f t="shared" ref="E2:E10" si="6">RADIANS(4)</f>
        <v>6.9813170079773182e-002</v>
      </c>
      <c r="N2" t="s">
        <v>16</v>
      </c>
    </row>
    <row r="3">
      <c r="A3" s="35">
        <v>5500</v>
      </c>
      <c r="B3">
        <v>60</v>
      </c>
      <c r="C3">
        <v>62</v>
      </c>
      <c r="D3" s="22">
        <f t="shared" si="5"/>
        <v>1.0821041362364843</v>
      </c>
      <c r="E3" s="23">
        <f t="shared" si="6"/>
        <v>6.9813170079773182e-002</v>
      </c>
    </row>
    <row r="4">
      <c r="A4" s="35">
        <v>5000</v>
      </c>
      <c r="B4">
        <v>60</v>
      </c>
      <c r="C4">
        <v>48</v>
      </c>
      <c r="D4" s="22">
        <f t="shared" si="5"/>
        <v>0.83775804095727824</v>
      </c>
      <c r="E4" s="23">
        <f t="shared" si="6"/>
        <v>6.9813170079773182e-002</v>
      </c>
    </row>
    <row r="5">
      <c r="A5" s="35">
        <v>4500</v>
      </c>
      <c r="B5">
        <v>60</v>
      </c>
      <c r="C5">
        <v>41</v>
      </c>
      <c r="D5" s="22">
        <f t="shared" si="5"/>
        <v>0.71558499331767511</v>
      </c>
      <c r="E5" s="23">
        <f t="shared" si="6"/>
        <v>6.9813170079773182e-002</v>
      </c>
    </row>
    <row r="6">
      <c r="A6" s="35">
        <v>4000</v>
      </c>
      <c r="B6">
        <v>60</v>
      </c>
      <c r="C6">
        <v>35</v>
      </c>
      <c r="D6" s="22">
        <f t="shared" si="5"/>
        <v>0.6108652381980153</v>
      </c>
      <c r="E6" s="23">
        <f t="shared" si="6"/>
        <v>6.9813170079773182e-002</v>
      </c>
    </row>
    <row r="7">
      <c r="A7" s="35">
        <v>3500</v>
      </c>
      <c r="B7">
        <v>60</v>
      </c>
      <c r="C7">
        <v>23</v>
      </c>
      <c r="D7" s="22">
        <f t="shared" si="5"/>
        <v>0.4014257279586958</v>
      </c>
      <c r="E7" s="23">
        <f t="shared" si="6"/>
        <v>6.9813170079773182e-002</v>
      </c>
    </row>
    <row r="8">
      <c r="A8" s="35">
        <v>3000</v>
      </c>
      <c r="B8">
        <v>60</v>
      </c>
      <c r="C8">
        <v>20</v>
      </c>
      <c r="D8" s="22">
        <f t="shared" si="5"/>
        <v>0.3490658503988659</v>
      </c>
      <c r="E8" s="23">
        <f t="shared" si="6"/>
        <v>6.9813170079773182e-002</v>
      </c>
    </row>
    <row r="9">
      <c r="A9" s="35">
        <v>2500</v>
      </c>
      <c r="B9">
        <v>60</v>
      </c>
      <c r="C9">
        <v>14</v>
      </c>
      <c r="D9" s="22">
        <f t="shared" si="5"/>
        <v>0.24434609527920614</v>
      </c>
      <c r="E9" s="23">
        <f t="shared" si="6"/>
        <v>6.9813170079773182e-002</v>
      </c>
    </row>
    <row r="10">
      <c r="A10" s="36">
        <v>2000</v>
      </c>
      <c r="B10" s="16">
        <v>60</v>
      </c>
      <c r="C10" s="16">
        <v>10</v>
      </c>
      <c r="D10" s="28">
        <f>RADIANS(C10)</f>
        <v>0.17453292519943295</v>
      </c>
      <c r="E10" s="29">
        <f t="shared" si="6"/>
        <v>6.9813170079773182e-002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2" activeCellId="0" sqref="G2"/>
    </sheetView>
  </sheetViews>
  <sheetFormatPr defaultRowHeight="14.25"/>
  <cols>
    <col bestFit="1" customWidth="1" min="1" max="1" width="11.86328125"/>
    <col bestFit="1" customWidth="1" min="2" max="2" width="9.06640625"/>
    <col bestFit="1" min="3" max="3" width="3.86328125"/>
    <col bestFit="1" customWidth="1" min="4" max="4" width="12.265625"/>
    <col bestFit="1" min="5" max="5" width="11.1328125"/>
    <col bestFit="1" min="6" max="6" width="13.3984375"/>
    <col bestFit="1" min="7" max="7" width="9.86328125"/>
    <col customWidth="1" min="8" max="8" width="14.1328125"/>
  </cols>
  <sheetData>
    <row r="1">
      <c r="A1" s="31" t="s">
        <v>12</v>
      </c>
      <c r="B1" s="32" t="s">
        <v>17</v>
      </c>
      <c r="C1" s="33" t="s">
        <v>2</v>
      </c>
      <c r="D1" s="32" t="s">
        <v>14</v>
      </c>
      <c r="E1" s="34" t="s">
        <v>15</v>
      </c>
      <c r="F1" s="37" t="s">
        <v>18</v>
      </c>
    </row>
    <row r="2">
      <c r="A2" s="35">
        <v>6000</v>
      </c>
      <c r="B2" s="38">
        <v>60</v>
      </c>
      <c r="C2">
        <v>70</v>
      </c>
      <c r="D2" s="22">
        <f t="shared" ref="D2:D10" si="7">RADIANS(C2)</f>
        <v>1.2217304763960306</v>
      </c>
      <c r="E2" s="23">
        <f t="shared" ref="E2:E10" si="8">RADIANS(4)</f>
        <v>6.9813170079773182e-002</v>
      </c>
      <c r="F2" s="13">
        <v>6000</v>
      </c>
    </row>
    <row r="3">
      <c r="A3" s="35">
        <v>5500</v>
      </c>
      <c r="B3" s="38">
        <v>60</v>
      </c>
      <c r="C3">
        <v>65</v>
      </c>
      <c r="D3" s="22">
        <f t="shared" si="7"/>
        <v>1.1344640137963142</v>
      </c>
      <c r="E3" s="23">
        <f t="shared" si="8"/>
        <v>6.9813170079773182e-002</v>
      </c>
    </row>
    <row r="4">
      <c r="A4" s="35">
        <v>5000</v>
      </c>
      <c r="B4" s="38">
        <v>60</v>
      </c>
      <c r="C4">
        <v>61</v>
      </c>
      <c r="D4" s="22">
        <f t="shared" si="7"/>
        <v>1.064650843716541</v>
      </c>
      <c r="E4" s="23">
        <f t="shared" si="8"/>
        <v>6.9813170079773182e-002</v>
      </c>
    </row>
    <row r="5">
      <c r="A5" s="35">
        <v>4500</v>
      </c>
      <c r="B5" s="38">
        <v>60</v>
      </c>
      <c r="C5">
        <v>59</v>
      </c>
      <c r="D5" s="22">
        <f t="shared" si="7"/>
        <v>1.0297442586766545</v>
      </c>
      <c r="E5" s="23">
        <f t="shared" si="8"/>
        <v>6.9813170079773182e-002</v>
      </c>
    </row>
    <row r="6">
      <c r="A6" s="35">
        <v>4000</v>
      </c>
      <c r="B6" s="38">
        <v>60</v>
      </c>
      <c r="C6">
        <v>52</v>
      </c>
      <c r="D6" s="22">
        <f t="shared" si="7"/>
        <v>0.90757121103705141</v>
      </c>
      <c r="E6" s="23">
        <f t="shared" si="8"/>
        <v>6.9813170079773182e-002</v>
      </c>
    </row>
    <row r="7">
      <c r="A7" s="35">
        <v>3500</v>
      </c>
      <c r="B7" s="38">
        <v>60</v>
      </c>
      <c r="C7">
        <v>43</v>
      </c>
      <c r="D7" s="22">
        <f t="shared" si="7"/>
        <v>0.75049157835756175</v>
      </c>
      <c r="E7" s="23">
        <f t="shared" si="8"/>
        <v>6.9813170079773182e-002</v>
      </c>
    </row>
    <row r="8">
      <c r="A8" s="35">
        <v>3000</v>
      </c>
      <c r="B8" s="38">
        <v>60</v>
      </c>
      <c r="C8">
        <v>39</v>
      </c>
      <c r="D8" s="22">
        <f t="shared" si="7"/>
        <v>0.68067840827778847</v>
      </c>
      <c r="E8" s="23">
        <f t="shared" si="8"/>
        <v>6.9813170079773182e-002</v>
      </c>
    </row>
    <row r="9">
      <c r="A9" s="35">
        <v>2500</v>
      </c>
      <c r="B9" s="38">
        <v>60</v>
      </c>
      <c r="C9">
        <v>35</v>
      </c>
      <c r="D9" s="22">
        <f t="shared" si="7"/>
        <v>0.6108652381980153</v>
      </c>
      <c r="E9" s="23">
        <f t="shared" si="8"/>
        <v>6.9813170079773182e-002</v>
      </c>
    </row>
    <row r="10">
      <c r="A10" s="36">
        <v>2000</v>
      </c>
      <c r="B10" s="16">
        <v>60</v>
      </c>
      <c r="C10" s="16">
        <v>28</v>
      </c>
      <c r="D10" s="28">
        <f t="shared" si="7"/>
        <v>0.48869219055841229</v>
      </c>
      <c r="E10" s="29">
        <f t="shared" si="8"/>
        <v>6.9813170079773182e-002</v>
      </c>
    </row>
    <row r="13">
      <c r="H13" s="2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8" activeCellId="0" sqref="C18"/>
    </sheetView>
  </sheetViews>
  <sheetFormatPr defaultRowHeight="14.25"/>
  <cols>
    <col customWidth="1" min="1" max="1" width="12.3984375"/>
    <col customWidth="1" min="3" max="3" width="13.59765625"/>
    <col customWidth="1" min="4" max="4" width="12.265625"/>
    <col bestFit="1" min="5" max="6" width="11.73046875"/>
  </cols>
  <sheetData>
    <row r="1">
      <c r="A1" s="31" t="s">
        <v>19</v>
      </c>
      <c r="B1" s="33" t="s">
        <v>2</v>
      </c>
      <c r="C1" s="32" t="s">
        <v>14</v>
      </c>
      <c r="D1" s="34" t="s">
        <v>15</v>
      </c>
    </row>
    <row r="2">
      <c r="A2" s="35">
        <f>2*10^(-5)</f>
        <v>2.0000000000000002e-005</v>
      </c>
      <c r="B2">
        <v>136</v>
      </c>
      <c r="C2" s="22">
        <f t="shared" ref="C2:C6" si="9">RADIANS(B2)</f>
        <v>2.3736477827122884</v>
      </c>
      <c r="D2" s="23">
        <f t="shared" ref="D2:D6" si="10">RADIANS(4)</f>
        <v>6.9813170079773182e-002</v>
      </c>
    </row>
    <row r="3">
      <c r="A3" s="35">
        <v>4.0000000000000003e-005</v>
      </c>
      <c r="B3">
        <v>282</v>
      </c>
      <c r="C3" s="22">
        <f t="shared" si="9"/>
        <v>4.9218284906240095</v>
      </c>
      <c r="D3" s="23">
        <f t="shared" si="10"/>
        <v>6.9813170079773182e-002</v>
      </c>
    </row>
    <row r="4">
      <c r="A4" s="35">
        <v>5.0000000000000002e-005</v>
      </c>
      <c r="B4">
        <v>355</v>
      </c>
      <c r="C4" s="22">
        <f t="shared" si="9"/>
        <v>6.1959188445798699</v>
      </c>
      <c r="D4" s="23">
        <f t="shared" si="10"/>
        <v>6.9813170079773182e-002</v>
      </c>
    </row>
    <row r="5">
      <c r="A5" s="35">
        <v>6.9999999999999994e-005</v>
      </c>
      <c r="B5">
        <v>500</v>
      </c>
      <c r="C5" s="22">
        <f t="shared" si="9"/>
        <v>8.7266462599716483</v>
      </c>
      <c r="D5" s="23">
        <f t="shared" si="10"/>
        <v>6.9813170079773182e-002</v>
      </c>
    </row>
    <row r="6">
      <c r="A6" s="36">
        <v>9.0000000000000006e-005</v>
      </c>
      <c r="B6" s="39">
        <v>645</v>
      </c>
      <c r="C6" s="28">
        <f t="shared" si="9"/>
        <v>11.257373675363425</v>
      </c>
      <c r="D6" s="29">
        <f t="shared" si="10"/>
        <v>6.9813170079773182e-002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item1.xml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2476d7-13f4-49c1-b8ad-54b424d3f2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46E5DF961F39408DE43B15EF6999B1" ma:contentTypeVersion="11" ma:contentTypeDescription="Creare un nuovo documento." ma:contentTypeScope="" ma:versionID="254c620abb66516fcb15e42ffae33bb8">
  <xsd:schema xmlns:xsd="http://www.w3.org/2001/XMLSchema" xmlns:xs="http://www.w3.org/2001/XMLSchema" xmlns:p="http://schemas.microsoft.com/office/2006/metadata/properties" xmlns:ns3="d72476d7-13f4-49c1-b8ad-54b424d3f220" targetNamespace="http://schemas.microsoft.com/office/2006/metadata/properties" ma:root="true" ma:fieldsID="9a875c36fd520a00607c3671a0b9cfc6" ns3:_="">
    <xsd:import namespace="d72476d7-13f4-49c1-b8ad-54b424d3f22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476d7-13f4-49c1-b8ad-54b424d3f22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81A9BFD7-2E1C-4854-B9F1-9F7D64E3C3DD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31A080D2-B925-49F5-BA27-77421BA67D98">
  <ds:schemaRefs>
    <ds:schemaRef ds:uri="http://purl.org/dc/dcmitype/"/>
    <ds:schemaRef ds:uri="http://purl.org/dc/terms/"/>
    <ds:schemaRef ds:uri="http://www.w3.org/XML/1998/namespace"/>
    <ds:schemaRef ds:uri="d72476d7-13f4-49c1-b8ad-54b424d3f220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828C690C-68D1-4736-AD79-B68A54EE0DA0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72AB6DCA-E748-4216-A6E0-431FBD4F0874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72476d7-13f4-49c1-b8ad-54b424d3f22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m.declich@campus.unimib.it</dc:creator>
  <cp:keywords/>
  <dc:description/>
  <cp:revision>9</cp:revision>
  <dcterms:created xsi:type="dcterms:W3CDTF">2026-04-28T05:59:56Z</dcterms:created>
  <dcterms:modified xsi:type="dcterms:W3CDTF">2026-06-07T13:36:40Z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0x0101009346E5DF961F39408DE43B15EF6999B1</vt:lpwstr>
  </property>
</Properties>
</file>