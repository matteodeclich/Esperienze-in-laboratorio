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"/>
    </mc:Choice>
  </mc:AlternateContent>
  <xr:revisionPtr revIDLastSave="149" documentId="8_{76D591C9-1A54-4271-962F-23920C06935B}" xr6:coauthVersionLast="47" xr6:coauthVersionMax="47" xr10:uidLastSave="{C9B80E03-5D14-43F2-9FEE-E70400D820B9}"/>
  <bookViews>
    <workbookView minimized="1" xWindow="368" yWindow="368" windowWidth="16199" windowHeight="9307" firstSheet="1" activeTab="3" xr2:uid="{00000000-000D-0000-FFFF-FFFF00000000}"/>
  </bookViews>
  <sheets>
    <sheet name="Smorzate (4mm)" sheetId="1" r:id="rId1"/>
    <sheet name="Smorzate forzate (4mm)" sheetId="2" r:id="rId2"/>
    <sheet name="Smorzate (5mm)" sheetId="4" r:id="rId3"/>
    <sheet name="Smorzate forzate (5mm)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J13" i="3" s="1"/>
  <c r="C8" i="3"/>
  <c r="D8" i="3"/>
  <c r="D16" i="3"/>
  <c r="D15" i="3"/>
  <c r="D14" i="3"/>
  <c r="D13" i="3"/>
  <c r="D12" i="3"/>
  <c r="D11" i="3"/>
  <c r="D10" i="3"/>
  <c r="D9" i="3"/>
  <c r="D7" i="3"/>
  <c r="I16" i="3"/>
  <c r="J16" i="3" s="1"/>
  <c r="E16" i="3"/>
  <c r="I14" i="3"/>
  <c r="I15" i="3"/>
  <c r="J15" i="3" s="1"/>
  <c r="E15" i="3"/>
  <c r="D12" i="2"/>
  <c r="D13" i="2"/>
  <c r="D14" i="2"/>
  <c r="D15" i="2"/>
  <c r="D16" i="2"/>
  <c r="D17" i="2"/>
  <c r="D18" i="2"/>
  <c r="D19" i="2"/>
  <c r="D20" i="2"/>
  <c r="D21" i="2"/>
  <c r="B7" i="2"/>
  <c r="E8" i="3"/>
  <c r="D4" i="3"/>
  <c r="D5" i="3" s="1"/>
  <c r="B4" i="3"/>
  <c r="B5" i="3" s="1"/>
  <c r="J14" i="3"/>
  <c r="E14" i="3"/>
  <c r="E13" i="3"/>
  <c r="I12" i="3"/>
  <c r="J12" i="3" s="1"/>
  <c r="E12" i="3"/>
  <c r="I11" i="3"/>
  <c r="J11" i="3" s="1"/>
  <c r="E11" i="3"/>
  <c r="I10" i="3"/>
  <c r="J10" i="3" s="1"/>
  <c r="E10" i="3"/>
  <c r="I9" i="3"/>
  <c r="J9" i="3" s="1"/>
  <c r="E9" i="3"/>
  <c r="I7" i="3"/>
  <c r="J7" i="3" s="1"/>
  <c r="E7" i="3"/>
  <c r="I8" i="3"/>
  <c r="J8" i="3" s="1"/>
  <c r="I21" i="2"/>
  <c r="J21" i="2" s="1"/>
  <c r="E21" i="2"/>
  <c r="I20" i="2"/>
  <c r="J20" i="2"/>
  <c r="E20" i="2"/>
  <c r="I19" i="2"/>
  <c r="J19" i="2" s="1"/>
  <c r="E19" i="2"/>
  <c r="I18" i="2"/>
  <c r="J18" i="2" s="1"/>
  <c r="I13" i="2"/>
  <c r="J13" i="2" s="1"/>
  <c r="I14" i="2"/>
  <c r="J14" i="2" s="1"/>
  <c r="I15" i="2"/>
  <c r="J15" i="2" s="1"/>
  <c r="I16" i="2"/>
  <c r="J16" i="2" s="1"/>
  <c r="I17" i="2"/>
  <c r="J17" i="2" s="1"/>
  <c r="E13" i="2"/>
  <c r="E14" i="2"/>
  <c r="E15" i="2"/>
  <c r="E16" i="2"/>
  <c r="E17" i="2"/>
  <c r="E18" i="2"/>
  <c r="I12" i="2"/>
  <c r="J12" i="2" s="1"/>
  <c r="E12" i="2"/>
  <c r="E7" i="2"/>
  <c r="D7" i="2"/>
  <c r="C7" i="2"/>
  <c r="A5" i="3" l="1"/>
  <c r="E2" i="3" s="1"/>
  <c r="G2" i="3" s="1"/>
  <c r="C5" i="3"/>
  <c r="F2" i="2"/>
  <c r="J2" i="2" s="1"/>
  <c r="G2" i="2" l="1"/>
  <c r="H2" i="2"/>
  <c r="I2" i="3"/>
  <c r="F2" i="3"/>
  <c r="H2" i="3" s="1"/>
  <c r="K2" i="2"/>
  <c r="I2" i="2"/>
  <c r="J2" i="3" l="1"/>
</calcChain>
</file>

<file path=xl/sharedStrings.xml><?xml version="1.0" encoding="utf-8"?>
<sst xmlns="http://schemas.openxmlformats.org/spreadsheetml/2006/main" count="70" uniqueCount="51">
  <si>
    <t>delta t = 8s</t>
  </si>
  <si>
    <t>distanza dal magnete 4mm</t>
  </si>
  <si>
    <t>deltat 8s</t>
  </si>
  <si>
    <t>delta t 9s</t>
  </si>
  <si>
    <t>delta t 4s</t>
  </si>
  <si>
    <t>Angle (rad) Oscillazioni Libere</t>
  </si>
  <si>
    <t>Angular Velocity (rad/s) Oscillazioni Libere</t>
  </si>
  <si>
    <t>Angle (rad) Run #2</t>
  </si>
  <si>
    <t>Angular Velocity (rad/s) Run #2</t>
  </si>
  <si>
    <t>Angle (rad) Oscillazioni Smorzate 2</t>
  </si>
  <si>
    <t>Angular Velocity (rad/s) Oscillazioni Smorzate 2</t>
  </si>
  <si>
    <t>Angle (rad) Oscillazioni Smorzate 3</t>
  </si>
  <si>
    <t>Angular Velocity (rad/s) Oscillazioni Smorzate 3</t>
  </si>
  <si>
    <t>Angle (rad) Oscillazioni Smorzate 4</t>
  </si>
  <si>
    <t>Angular Velocity (rad/s) Oscillazioni Smorzate 4</t>
  </si>
  <si>
    <t>Δt</t>
  </si>
  <si>
    <t>γ</t>
  </si>
  <si>
    <t>sγ</t>
  </si>
  <si>
    <t>ω</t>
  </si>
  <si>
    <t>sω</t>
  </si>
  <si>
    <t>ω_0 (rad/s)</t>
  </si>
  <si>
    <t>sω_0</t>
  </si>
  <si>
    <t>ω_0/2 (rad/s)</t>
  </si>
  <si>
    <t>sω_0/2</t>
  </si>
  <si>
    <t>2ω_0 (rad/s)</t>
  </si>
  <si>
    <t>s 2ω_0</t>
  </si>
  <si>
    <t>5s</t>
  </si>
  <si>
    <t>4s</t>
  </si>
  <si>
    <t>9s</t>
  </si>
  <si>
    <t>8s</t>
  </si>
  <si>
    <t>MEDIA</t>
  </si>
  <si>
    <t>Tensione (V)</t>
  </si>
  <si>
    <t xml:space="preserve">ω interp. (rad/s) </t>
  </si>
  <si>
    <t>sω (int.)</t>
  </si>
  <si>
    <t>T (s)</t>
  </si>
  <si>
    <t>T forzante (s)</t>
  </si>
  <si>
    <t>T forz medio (s)</t>
  </si>
  <si>
    <t>ω forz (rad/s)</t>
  </si>
  <si>
    <t>A</t>
  </si>
  <si>
    <t>σA</t>
  </si>
  <si>
    <t xml:space="preserve">OSCILLAZIONI SMORZATE </t>
  </si>
  <si>
    <t>Angle (rad) Run #1</t>
  </si>
  <si>
    <t>Angular Velocity (rad/s) Run #1</t>
  </si>
  <si>
    <t>Time (s) Auto</t>
  </si>
  <si>
    <t>Angle (rad) Run #3</t>
  </si>
  <si>
    <t>t 6s</t>
  </si>
  <si>
    <t>t 7s</t>
  </si>
  <si>
    <t>ω_0</t>
  </si>
  <si>
    <t>ω_0/2</t>
  </si>
  <si>
    <t>2ω_0</t>
  </si>
  <si>
    <t>ω rad/s forz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</si>
</sst>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1" xfId="0" quotePrefix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16" xfId="0" applyBorder="1"/>
    <xf numFmtId="0" fontId="0" fillId="0" borderId="10" xfId="0" applyBorder="1"/>
    <xf numFmtId="0" fontId="0" fillId="3" borderId="12" xfId="0" applyFill="1" applyBorder="1"/>
    <xf numFmtId="0" fontId="0" fillId="2" borderId="14" xfId="0" applyFill="1" applyBorder="1"/>
    <xf numFmtId="0" fontId="2" fillId="2" borderId="1" xfId="0" applyFont="1" applyFill="1" applyBorder="1"/>
    <xf numFmtId="0" fontId="0" fillId="2" borderId="15" xfId="0" applyFill="1" applyBorder="1"/>
    <xf numFmtId="0" fontId="3" fillId="0" borderId="0" xfId="0" applyFont="1"/>
    <xf numFmtId="0" fontId="0" fillId="4" borderId="0" xfId="0" applyFill="1"/>
    <xf numFmtId="0" fontId="4" fillId="0" borderId="17" xfId="0" applyFont="1" applyBorder="1" applyAlignment="1">
      <alignment readingOrder="1"/>
    </xf>
    <xf numFmtId="0" fontId="4" fillId="0" borderId="18" xfId="0" applyFont="1" applyBorder="1" applyAlignment="1">
      <alignment readingOrder="1"/>
    </xf>
    <xf numFmtId="0" fontId="4" fillId="0" borderId="19" xfId="0" applyFont="1" applyBorder="1" applyAlignment="1">
      <alignment readingOrder="1"/>
    </xf>
    <xf numFmtId="0" fontId="4" fillId="0" borderId="20" xfId="0" applyFont="1" applyBorder="1" applyAlignment="1">
      <alignment readingOrder="1"/>
    </xf>
    <xf numFmtId="0" fontId="4" fillId="0" borderId="21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4" fillId="0" borderId="22" xfId="0" applyFont="1" applyBorder="1" applyAlignment="1">
      <alignment readingOrder="1"/>
    </xf>
    <xf numFmtId="0" fontId="4" fillId="0" borderId="23" xfId="0" applyFont="1" applyBorder="1" applyAlignment="1">
      <alignment readingOrder="1"/>
    </xf>
    <xf numFmtId="0" fontId="4" fillId="0" borderId="24" xfId="0" applyFont="1" applyBorder="1" applyAlignment="1">
      <alignment readingOrder="1"/>
    </xf>
    <xf numFmtId="0" fontId="4" fillId="0" borderId="25" xfId="0" applyFont="1" applyBorder="1" applyAlignment="1">
      <alignment readingOrder="1"/>
    </xf>
    <xf numFmtId="0" fontId="2" fillId="0" borderId="12" xfId="0" applyFont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3" xfId="0" applyFill="1" applyBorder="1"/>
    <xf numFmtId="0" fontId="0" fillId="0" borderId="2" xfId="0" applyBorder="1"/>
    <xf numFmtId="0" fontId="0" fillId="0" borderId="4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E89D84-A6DE-47AF-A8C9-E223A3C15E7F}">
  <we:reference id="WA200007447" version="1.1.6.6" store="Omex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21"/>
  <sheetViews>
    <sheetView workbookViewId="0"/>
  </sheetViews>
  <sheetFormatPr defaultColWidth="12.59765625" defaultRowHeight="15.75" customHeight="1" x14ac:dyDescent="0.35"/>
  <cols>
    <col min="1" max="1" width="15.86328125" customWidth="1"/>
  </cols>
  <sheetData>
    <row r="1" spans="1:21" x14ac:dyDescent="0.35">
      <c r="F1" s="1" t="s">
        <v>0</v>
      </c>
      <c r="G1" s="1" t="s">
        <v>1</v>
      </c>
      <c r="J1" s="1" t="s">
        <v>2</v>
      </c>
      <c r="O1" s="1" t="s">
        <v>3</v>
      </c>
      <c r="T1" s="1" t="s">
        <v>4</v>
      </c>
    </row>
    <row r="2" spans="1:21" x14ac:dyDescent="0.35">
      <c r="A2" s="1" t="s">
        <v>5</v>
      </c>
      <c r="B2" s="1" t="s">
        <v>6</v>
      </c>
      <c r="F2" s="1" t="s">
        <v>7</v>
      </c>
      <c r="G2" s="1" t="s">
        <v>8</v>
      </c>
      <c r="J2" s="1" t="s">
        <v>9</v>
      </c>
      <c r="K2" s="1" t="s">
        <v>10</v>
      </c>
      <c r="O2" s="1" t="s">
        <v>11</v>
      </c>
      <c r="P2" s="1" t="s">
        <v>12</v>
      </c>
      <c r="T2" s="1" t="s">
        <v>13</v>
      </c>
      <c r="U2" s="1" t="s">
        <v>14</v>
      </c>
    </row>
    <row r="3" spans="1:21" x14ac:dyDescent="0.35">
      <c r="A3" s="1">
        <v>0</v>
      </c>
      <c r="B3" s="1">
        <v>2.1000000000000001E-2</v>
      </c>
      <c r="F3" s="1">
        <v>1.7000000000000001E-2</v>
      </c>
      <c r="G3" s="1">
        <v>0</v>
      </c>
      <c r="J3" s="1">
        <v>0</v>
      </c>
      <c r="O3" s="1">
        <v>0</v>
      </c>
      <c r="T3" s="1">
        <v>0</v>
      </c>
      <c r="U3" s="1">
        <v>6.3E-2</v>
      </c>
    </row>
    <row r="4" spans="1:21" x14ac:dyDescent="0.35">
      <c r="A4" s="1">
        <v>0</v>
      </c>
      <c r="B4" s="1">
        <v>9.4E-2</v>
      </c>
      <c r="F4" s="1">
        <v>1.7000000000000001E-2</v>
      </c>
      <c r="G4" s="1">
        <v>4.2000000000000003E-2</v>
      </c>
      <c r="J4" s="1">
        <v>3.0000000000000001E-3</v>
      </c>
      <c r="K4" s="1">
        <v>0.126</v>
      </c>
      <c r="O4" s="1">
        <v>0</v>
      </c>
      <c r="P4" s="1">
        <v>0</v>
      </c>
      <c r="T4" s="1">
        <v>2E-3</v>
      </c>
      <c r="U4" s="1">
        <v>0.20899999999999999</v>
      </c>
    </row>
    <row r="5" spans="1:21" x14ac:dyDescent="0.35">
      <c r="A5" s="1">
        <v>3.0000000000000001E-3</v>
      </c>
      <c r="B5" s="1">
        <v>0.23</v>
      </c>
      <c r="F5" s="1">
        <v>1.7000000000000001E-2</v>
      </c>
      <c r="G5" s="1">
        <v>0.16800000000000001</v>
      </c>
      <c r="J5" s="1">
        <v>6.0000000000000001E-3</v>
      </c>
      <c r="K5" s="1">
        <v>0.188</v>
      </c>
      <c r="O5" s="1">
        <v>0</v>
      </c>
      <c r="P5" s="1">
        <v>0</v>
      </c>
      <c r="T5" s="1">
        <v>8.0000000000000002E-3</v>
      </c>
      <c r="U5" s="1">
        <v>0.48199999999999998</v>
      </c>
    </row>
    <row r="6" spans="1:21" x14ac:dyDescent="0.35">
      <c r="A6" s="1">
        <v>1.0999999999999999E-2</v>
      </c>
      <c r="B6" s="1">
        <v>0.40799999999999997</v>
      </c>
      <c r="F6" s="1">
        <v>2.4E-2</v>
      </c>
      <c r="G6" s="1">
        <v>0.38700000000000001</v>
      </c>
      <c r="J6" s="1">
        <v>1.2999999999999999E-2</v>
      </c>
      <c r="K6" s="1">
        <v>0.26200000000000001</v>
      </c>
      <c r="O6" s="1">
        <v>0</v>
      </c>
      <c r="P6" s="1">
        <v>0.01</v>
      </c>
      <c r="T6" s="1">
        <v>2.4E-2</v>
      </c>
      <c r="U6" s="1">
        <v>0.86899999999999999</v>
      </c>
    </row>
    <row r="7" spans="1:21" x14ac:dyDescent="0.35">
      <c r="A7" s="1">
        <v>2.4E-2</v>
      </c>
      <c r="B7" s="1">
        <v>0.68100000000000005</v>
      </c>
      <c r="F7" s="1">
        <v>3.5999999999999997E-2</v>
      </c>
      <c r="G7" s="1">
        <v>0.69099999999999995</v>
      </c>
      <c r="J7" s="1">
        <v>1.9E-2</v>
      </c>
      <c r="K7" s="1">
        <v>0.35599999999999998</v>
      </c>
      <c r="O7" s="1">
        <v>0</v>
      </c>
      <c r="P7" s="1">
        <v>6.3E-2</v>
      </c>
      <c r="T7" s="1">
        <v>0.05</v>
      </c>
      <c r="U7" s="1">
        <v>1.351</v>
      </c>
    </row>
    <row r="8" spans="1:21" x14ac:dyDescent="0.35">
      <c r="A8" s="1">
        <v>4.1000000000000002E-2</v>
      </c>
      <c r="B8" s="1">
        <v>1.1000000000000001</v>
      </c>
      <c r="F8" s="1">
        <v>5.7000000000000002E-2</v>
      </c>
      <c r="G8" s="1">
        <v>1.0680000000000001</v>
      </c>
      <c r="J8" s="1">
        <v>0.03</v>
      </c>
      <c r="K8" s="1">
        <v>0.46100000000000002</v>
      </c>
      <c r="O8" s="1">
        <v>2E-3</v>
      </c>
      <c r="P8" s="1">
        <v>0.14699999999999999</v>
      </c>
      <c r="T8" s="1">
        <v>0.09</v>
      </c>
      <c r="U8" s="1">
        <v>1.885</v>
      </c>
    </row>
    <row r="9" spans="1:21" x14ac:dyDescent="0.35">
      <c r="A9" s="1">
        <v>7.4999999999999997E-2</v>
      </c>
      <c r="B9" s="1">
        <v>1.613</v>
      </c>
      <c r="F9" s="1">
        <v>8.7999999999999995E-2</v>
      </c>
      <c r="G9" s="1">
        <v>1.55</v>
      </c>
      <c r="J9" s="1">
        <v>4.2000000000000003E-2</v>
      </c>
      <c r="K9" s="1">
        <v>0.59699999999999998</v>
      </c>
      <c r="O9" s="1">
        <v>8.0000000000000002E-3</v>
      </c>
      <c r="P9" s="1">
        <v>0.26200000000000001</v>
      </c>
      <c r="T9" s="1">
        <v>0.14499999999999999</v>
      </c>
      <c r="U9" s="1">
        <v>2.44</v>
      </c>
    </row>
    <row r="10" spans="1:21" x14ac:dyDescent="0.35">
      <c r="A10" s="1">
        <v>0.124</v>
      </c>
      <c r="B10" s="1">
        <v>2.0419999999999998</v>
      </c>
      <c r="F10" s="1">
        <v>0.13200000000000001</v>
      </c>
      <c r="G10" s="1">
        <v>2.1469999999999998</v>
      </c>
      <c r="J10" s="1">
        <v>5.8000000000000003E-2</v>
      </c>
      <c r="K10" s="1">
        <v>0.78500000000000003</v>
      </c>
      <c r="O10" s="1">
        <v>1.4E-2</v>
      </c>
      <c r="P10" s="1">
        <v>0.41899999999999998</v>
      </c>
      <c r="T10" s="1">
        <v>0.21199999999999999</v>
      </c>
      <c r="U10" s="1">
        <v>3.0049999999999999</v>
      </c>
    </row>
    <row r="11" spans="1:21" x14ac:dyDescent="0.35">
      <c r="A11" s="1">
        <v>0.182</v>
      </c>
      <c r="B11" s="1">
        <v>2.2719999999999998</v>
      </c>
      <c r="F11" s="1">
        <v>0.193</v>
      </c>
      <c r="G11" s="1">
        <v>2.859</v>
      </c>
      <c r="J11" s="1">
        <v>0.08</v>
      </c>
      <c r="K11" s="1">
        <v>1.0369999999999999</v>
      </c>
      <c r="O11" s="1">
        <v>2.7E-2</v>
      </c>
      <c r="P11" s="1">
        <v>0.628</v>
      </c>
      <c r="T11" s="1">
        <v>0.29399999999999998</v>
      </c>
      <c r="U11" s="1">
        <v>3.5710000000000002</v>
      </c>
    </row>
    <row r="12" spans="1:21" x14ac:dyDescent="0.35">
      <c r="A12" s="1">
        <v>0.24</v>
      </c>
      <c r="B12" s="1">
        <v>2.3879999999999999</v>
      </c>
      <c r="F12" s="1">
        <v>0.27300000000000002</v>
      </c>
      <c r="G12" s="1">
        <v>3.6440000000000001</v>
      </c>
      <c r="J12" s="1">
        <v>0.11</v>
      </c>
      <c r="K12" s="1">
        <v>1.319</v>
      </c>
      <c r="O12" s="1">
        <v>4.5999999999999999E-2</v>
      </c>
      <c r="P12" s="1">
        <v>0.90100000000000002</v>
      </c>
      <c r="T12" s="1">
        <v>0.39100000000000001</v>
      </c>
      <c r="U12" s="1">
        <v>4.157</v>
      </c>
    </row>
    <row r="13" spans="1:21" x14ac:dyDescent="0.35">
      <c r="A13" s="1">
        <v>0.3</v>
      </c>
      <c r="B13" s="1">
        <v>2.5870000000000002</v>
      </c>
      <c r="F13" s="1">
        <v>0.375</v>
      </c>
      <c r="G13" s="1">
        <v>4.4400000000000004</v>
      </c>
      <c r="J13" s="1">
        <v>0.14599999999999999</v>
      </c>
      <c r="K13" s="1">
        <v>1.623</v>
      </c>
      <c r="O13" s="1">
        <v>7.0999999999999994E-2</v>
      </c>
      <c r="P13" s="1">
        <v>1.246</v>
      </c>
      <c r="T13" s="1">
        <v>0.501</v>
      </c>
      <c r="U13" s="1">
        <v>4.7539999999999996</v>
      </c>
    </row>
    <row r="14" spans="1:21" x14ac:dyDescent="0.35">
      <c r="A14" s="1">
        <v>0.36399999999999999</v>
      </c>
      <c r="B14" s="1">
        <v>3.0369999999999999</v>
      </c>
      <c r="F14" s="1">
        <v>0.496</v>
      </c>
      <c r="G14" s="1">
        <v>5.2149999999999999</v>
      </c>
      <c r="J14" s="1">
        <v>0.19</v>
      </c>
      <c r="K14" s="1">
        <v>1.948</v>
      </c>
      <c r="O14" s="1">
        <v>0.105</v>
      </c>
      <c r="P14" s="1">
        <v>1.7070000000000001</v>
      </c>
      <c r="T14" s="1">
        <v>0.628</v>
      </c>
      <c r="U14" s="1">
        <v>5.3620000000000001</v>
      </c>
    </row>
    <row r="15" spans="1:21" x14ac:dyDescent="0.35">
      <c r="A15" s="1">
        <v>0.44600000000000001</v>
      </c>
      <c r="B15" s="1">
        <v>3.718</v>
      </c>
      <c r="F15" s="1">
        <v>0.63600000000000001</v>
      </c>
      <c r="G15" s="1">
        <v>5.9690000000000003</v>
      </c>
      <c r="J15" s="1">
        <v>0.24299999999999999</v>
      </c>
      <c r="K15" s="1">
        <v>2.2829999999999999</v>
      </c>
      <c r="O15" s="1">
        <v>0.154</v>
      </c>
      <c r="P15" s="1">
        <v>2.2719999999999998</v>
      </c>
      <c r="T15" s="1">
        <v>0.77</v>
      </c>
      <c r="U15" s="1">
        <v>5.98</v>
      </c>
    </row>
    <row r="16" spans="1:21" x14ac:dyDescent="0.35">
      <c r="A16" s="1">
        <v>0.55000000000000004</v>
      </c>
      <c r="B16" s="1">
        <v>4.4820000000000002</v>
      </c>
      <c r="F16" s="1">
        <v>0.79500000000000004</v>
      </c>
      <c r="G16" s="1">
        <v>6.702</v>
      </c>
      <c r="J16" s="1">
        <v>0.30499999999999999</v>
      </c>
      <c r="K16" s="1">
        <v>2.6080000000000001</v>
      </c>
      <c r="O16" s="1">
        <v>0.218</v>
      </c>
      <c r="P16" s="1">
        <v>2.8690000000000002</v>
      </c>
      <c r="T16" s="1">
        <v>0.92700000000000005</v>
      </c>
      <c r="U16" s="1">
        <v>6.5869999999999997</v>
      </c>
    </row>
    <row r="17" spans="1:21" x14ac:dyDescent="0.35">
      <c r="A17" s="1">
        <v>0.67200000000000004</v>
      </c>
      <c r="B17" s="1">
        <v>5.2149999999999999</v>
      </c>
      <c r="F17" s="1">
        <v>0.97199999999999998</v>
      </c>
      <c r="G17" s="1">
        <v>7.3620000000000001</v>
      </c>
      <c r="J17" s="1">
        <v>0.374</v>
      </c>
      <c r="K17" s="1">
        <v>2.9220000000000002</v>
      </c>
      <c r="O17" s="1">
        <v>0.29799999999999999</v>
      </c>
      <c r="P17" s="1">
        <v>3.4660000000000002</v>
      </c>
      <c r="T17" s="1">
        <v>1.1000000000000001</v>
      </c>
      <c r="U17" s="1">
        <v>7.1520000000000001</v>
      </c>
    </row>
    <row r="18" spans="1:21" x14ac:dyDescent="0.35">
      <c r="A18" s="1">
        <v>0.81100000000000005</v>
      </c>
      <c r="B18" s="1">
        <v>5.9589999999999996</v>
      </c>
      <c r="F18" s="1">
        <v>1.1659999999999999</v>
      </c>
      <c r="G18" s="1">
        <v>7.875</v>
      </c>
      <c r="J18" s="1">
        <v>0.45100000000000001</v>
      </c>
      <c r="K18" s="1">
        <v>3.3090000000000002</v>
      </c>
      <c r="O18" s="1">
        <v>0.39100000000000001</v>
      </c>
      <c r="P18" s="1">
        <v>4.0949999999999998</v>
      </c>
      <c r="T18" s="1">
        <v>1.286</v>
      </c>
      <c r="U18" s="1">
        <v>7.6449999999999996</v>
      </c>
    </row>
    <row r="19" spans="1:21" x14ac:dyDescent="0.35">
      <c r="A19" s="1">
        <v>0.96799999999999997</v>
      </c>
      <c r="B19" s="1">
        <v>6.7649999999999997</v>
      </c>
      <c r="F19" s="1">
        <v>1.37</v>
      </c>
      <c r="G19" s="1">
        <v>8.1890000000000001</v>
      </c>
      <c r="J19" s="1">
        <v>0.53600000000000003</v>
      </c>
      <c r="K19" s="1">
        <v>3.9169999999999998</v>
      </c>
      <c r="O19" s="1">
        <v>0.501</v>
      </c>
      <c r="P19" s="1">
        <v>4.7960000000000003</v>
      </c>
      <c r="T19" s="1">
        <v>1.4830000000000001</v>
      </c>
      <c r="U19" s="1">
        <v>8.0630000000000006</v>
      </c>
    </row>
    <row r="20" spans="1:21" x14ac:dyDescent="0.35">
      <c r="A20" s="1">
        <v>1.1479999999999999</v>
      </c>
      <c r="B20" s="1">
        <v>7.6239999999999997</v>
      </c>
      <c r="F20" s="1">
        <v>1.579</v>
      </c>
      <c r="G20" s="1">
        <v>8.2940000000000005</v>
      </c>
      <c r="J20" s="1">
        <v>0.63900000000000001</v>
      </c>
      <c r="K20" s="1">
        <v>4.8380000000000001</v>
      </c>
      <c r="O20" s="1">
        <v>0.63</v>
      </c>
      <c r="P20" s="1">
        <v>5.5709999999999997</v>
      </c>
      <c r="T20" s="1">
        <v>1.69</v>
      </c>
      <c r="U20" s="1">
        <v>8.3989999999999991</v>
      </c>
    </row>
    <row r="21" spans="1:21" x14ac:dyDescent="0.35">
      <c r="A21" s="1">
        <v>1.349</v>
      </c>
      <c r="B21" s="1">
        <v>8.4819999999999993</v>
      </c>
      <c r="F21" s="1">
        <v>1.788</v>
      </c>
      <c r="G21" s="1">
        <v>8.2520000000000007</v>
      </c>
      <c r="J21" s="1">
        <v>0.77300000000000002</v>
      </c>
      <c r="K21" s="1">
        <v>5.9480000000000004</v>
      </c>
      <c r="O21" s="1">
        <v>0.77900000000000003</v>
      </c>
      <c r="P21" s="1">
        <v>6.3769999999999998</v>
      </c>
      <c r="T21" s="1">
        <v>1.905</v>
      </c>
      <c r="U21" s="1">
        <v>8.5969999999999995</v>
      </c>
    </row>
    <row r="22" spans="1:21" x14ac:dyDescent="0.35">
      <c r="A22" s="1">
        <v>1.5720000000000001</v>
      </c>
      <c r="B22" s="1">
        <v>9.31</v>
      </c>
      <c r="F22" s="1">
        <v>1.992</v>
      </c>
      <c r="G22" s="1">
        <v>8.1890000000000001</v>
      </c>
      <c r="J22" s="1">
        <v>0.93899999999999995</v>
      </c>
      <c r="K22" s="1">
        <v>7.0369999999999999</v>
      </c>
      <c r="O22" s="1">
        <v>0.94899999999999995</v>
      </c>
      <c r="P22" s="1">
        <v>7.194</v>
      </c>
      <c r="T22" s="1">
        <v>2.1240000000000001</v>
      </c>
      <c r="U22" s="1">
        <v>8.65</v>
      </c>
    </row>
    <row r="23" spans="1:21" x14ac:dyDescent="0.35">
      <c r="A23" s="1">
        <v>1.8160000000000001</v>
      </c>
      <c r="B23" s="1">
        <v>10.042999999999999</v>
      </c>
      <c r="F23" s="1">
        <v>2.194</v>
      </c>
      <c r="G23" s="1">
        <v>8.2309999999999999</v>
      </c>
      <c r="J23" s="1">
        <v>1.1279999999999999</v>
      </c>
      <c r="K23" s="1">
        <v>8.0109999999999992</v>
      </c>
      <c r="O23" s="1">
        <v>1.139</v>
      </c>
      <c r="P23" s="1">
        <v>8.0109999999999992</v>
      </c>
      <c r="T23" s="1">
        <v>2.339</v>
      </c>
      <c r="U23" s="1">
        <v>8.6809999999999992</v>
      </c>
    </row>
    <row r="24" spans="1:21" x14ac:dyDescent="0.35">
      <c r="A24" s="1">
        <v>2.0779999999999998</v>
      </c>
      <c r="B24" s="1">
        <v>10.587</v>
      </c>
      <c r="F24" s="1">
        <v>2.4</v>
      </c>
      <c r="G24" s="1">
        <v>8.43</v>
      </c>
      <c r="J24" s="1">
        <v>1.34</v>
      </c>
      <c r="K24" s="1">
        <v>8.891</v>
      </c>
      <c r="O24" s="1">
        <v>1.349</v>
      </c>
      <c r="P24" s="1">
        <v>8.8170000000000002</v>
      </c>
      <c r="T24" s="1">
        <v>2.5539999999999998</v>
      </c>
      <c r="U24" s="1">
        <v>8.7959999999999994</v>
      </c>
    </row>
    <row r="25" spans="1:21" x14ac:dyDescent="0.35">
      <c r="A25" s="1">
        <v>2.35</v>
      </c>
      <c r="B25" s="1">
        <v>10.88</v>
      </c>
      <c r="F25" s="1">
        <v>2.6139999999999999</v>
      </c>
      <c r="G25" s="1">
        <v>8.7230000000000008</v>
      </c>
      <c r="J25" s="1">
        <v>1.5740000000000001</v>
      </c>
      <c r="K25" s="1">
        <v>9.718</v>
      </c>
      <c r="O25" s="1">
        <v>1.58</v>
      </c>
      <c r="P25" s="1">
        <v>9.5500000000000007</v>
      </c>
      <c r="T25" s="1">
        <v>2.7770000000000001</v>
      </c>
      <c r="U25" s="1">
        <v>8.9120000000000008</v>
      </c>
    </row>
    <row r="26" spans="1:21" x14ac:dyDescent="0.35">
      <c r="A26" s="1">
        <v>2.6259999999999999</v>
      </c>
      <c r="B26" s="1">
        <v>10.901</v>
      </c>
      <c r="F26" s="1">
        <v>2.8370000000000002</v>
      </c>
      <c r="G26" s="1">
        <v>8.9849999999999994</v>
      </c>
      <c r="J26" s="1">
        <v>1.827</v>
      </c>
      <c r="K26" s="1">
        <v>10.462</v>
      </c>
      <c r="O26" s="1">
        <v>1.83</v>
      </c>
      <c r="P26" s="1">
        <v>10.137</v>
      </c>
      <c r="T26" s="1">
        <v>3.0049999999999999</v>
      </c>
      <c r="U26" s="1">
        <v>8.8379999999999992</v>
      </c>
    </row>
    <row r="27" spans="1:21" x14ac:dyDescent="0.35">
      <c r="A27" s="1">
        <v>2.9</v>
      </c>
      <c r="B27" s="1">
        <v>10.692</v>
      </c>
      <c r="F27" s="1">
        <v>3.0659999999999998</v>
      </c>
      <c r="G27" s="1">
        <v>9.1419999999999995</v>
      </c>
      <c r="J27" s="1">
        <v>2.0990000000000002</v>
      </c>
      <c r="K27" s="1">
        <v>11.132</v>
      </c>
      <c r="O27" s="1">
        <v>2.0910000000000002</v>
      </c>
      <c r="P27" s="1">
        <v>10.545</v>
      </c>
      <c r="T27" s="1">
        <v>3.2250000000000001</v>
      </c>
      <c r="U27" s="1">
        <v>8.5660000000000007</v>
      </c>
    </row>
    <row r="28" spans="1:21" x14ac:dyDescent="0.35">
      <c r="A28" s="1">
        <v>3.1640000000000001</v>
      </c>
      <c r="B28" s="1">
        <v>10.304</v>
      </c>
      <c r="F28" s="1">
        <v>3.2959999999999998</v>
      </c>
      <c r="G28" s="1">
        <v>9.173</v>
      </c>
      <c r="J28" s="1">
        <v>2.3839999999999999</v>
      </c>
      <c r="K28" s="1">
        <v>11.718</v>
      </c>
      <c r="O28" s="1">
        <v>2.359</v>
      </c>
      <c r="P28" s="1">
        <v>10.818</v>
      </c>
      <c r="T28" s="1">
        <v>3.4319999999999999</v>
      </c>
      <c r="U28" s="1">
        <v>8.2520000000000007</v>
      </c>
    </row>
    <row r="29" spans="1:21" x14ac:dyDescent="0.35">
      <c r="A29" s="1">
        <v>3.4159999999999999</v>
      </c>
      <c r="B29" s="1">
        <v>9.7810000000000006</v>
      </c>
      <c r="F29" s="1">
        <v>3.5259999999999998</v>
      </c>
      <c r="G29" s="1">
        <v>9.0579999999999998</v>
      </c>
      <c r="J29" s="1">
        <v>2.6859999999999999</v>
      </c>
      <c r="K29" s="1">
        <v>12.221</v>
      </c>
      <c r="O29" s="1">
        <v>2.633</v>
      </c>
      <c r="P29" s="1">
        <v>11.026999999999999</v>
      </c>
      <c r="T29" s="1">
        <v>3.6349999999999998</v>
      </c>
      <c r="U29" s="1">
        <v>7.98</v>
      </c>
    </row>
    <row r="30" spans="1:21" x14ac:dyDescent="0.35">
      <c r="A30" s="1">
        <v>3.6549999999999998</v>
      </c>
      <c r="B30" s="1">
        <v>9.1630000000000003</v>
      </c>
      <c r="F30" s="1">
        <v>3.7530000000000001</v>
      </c>
      <c r="G30" s="1">
        <v>8.7550000000000008</v>
      </c>
      <c r="J30" s="1">
        <v>2.9969999999999999</v>
      </c>
      <c r="K30" s="1">
        <v>12.65</v>
      </c>
      <c r="O30" s="1">
        <v>2.911</v>
      </c>
      <c r="P30" s="1">
        <v>11.195</v>
      </c>
      <c r="T30" s="1">
        <v>3.8330000000000002</v>
      </c>
      <c r="U30" s="1">
        <v>7.6550000000000002</v>
      </c>
    </row>
    <row r="31" spans="1:21" x14ac:dyDescent="0.35">
      <c r="A31" s="1">
        <v>3.875</v>
      </c>
      <c r="B31" s="1">
        <v>8.4819999999999993</v>
      </c>
      <c r="F31" s="1">
        <v>3.968</v>
      </c>
      <c r="G31" s="1">
        <v>8.2409999999999997</v>
      </c>
      <c r="J31" s="1">
        <v>3.319</v>
      </c>
      <c r="K31" s="1">
        <v>12.984999999999999</v>
      </c>
      <c r="O31" s="1">
        <v>3.1930000000000001</v>
      </c>
      <c r="P31" s="1">
        <v>11.226000000000001</v>
      </c>
      <c r="T31" s="1">
        <v>4.0209999999999999</v>
      </c>
      <c r="U31" s="1">
        <v>7.1520000000000001</v>
      </c>
    </row>
    <row r="32" spans="1:21" x14ac:dyDescent="0.35">
      <c r="A32" s="1">
        <v>4.0789999999999997</v>
      </c>
      <c r="B32" s="1">
        <v>7.7809999999999997</v>
      </c>
      <c r="F32" s="1">
        <v>4.1669999999999998</v>
      </c>
      <c r="G32" s="1">
        <v>7.5919999999999996</v>
      </c>
      <c r="J32" s="1">
        <v>3.649</v>
      </c>
      <c r="K32" s="1">
        <v>13.183999999999999</v>
      </c>
      <c r="O32" s="1">
        <v>3.4780000000000002</v>
      </c>
      <c r="P32" s="1">
        <v>11.016999999999999</v>
      </c>
      <c r="T32" s="1">
        <v>4.194</v>
      </c>
      <c r="U32" s="1">
        <v>6.4610000000000003</v>
      </c>
    </row>
    <row r="33" spans="1:21" x14ac:dyDescent="0.35">
      <c r="A33" s="1">
        <v>4.2649999999999997</v>
      </c>
      <c r="B33" s="1">
        <v>7.0579999999999998</v>
      </c>
      <c r="F33" s="1">
        <v>4.3479999999999999</v>
      </c>
      <c r="G33" s="1">
        <v>6.9219999999999997</v>
      </c>
      <c r="J33" s="1">
        <v>3.9820000000000002</v>
      </c>
      <c r="K33" s="1">
        <v>13.111000000000001</v>
      </c>
      <c r="O33" s="1">
        <v>3.7490000000000001</v>
      </c>
      <c r="P33" s="1">
        <v>10.555999999999999</v>
      </c>
      <c r="T33" s="1">
        <v>4.3460000000000001</v>
      </c>
      <c r="U33" s="1">
        <v>5.6550000000000002</v>
      </c>
    </row>
    <row r="34" spans="1:21" x14ac:dyDescent="0.35">
      <c r="A34" s="1">
        <v>4.4329999999999998</v>
      </c>
      <c r="B34" s="1">
        <v>6.2939999999999996</v>
      </c>
      <c r="F34" s="1">
        <v>4.5110000000000001</v>
      </c>
      <c r="G34" s="1">
        <v>6.2830000000000004</v>
      </c>
      <c r="J34" s="1">
        <v>4.3120000000000003</v>
      </c>
      <c r="K34" s="1">
        <v>12.682</v>
      </c>
      <c r="O34" s="1">
        <v>4.0069999999999997</v>
      </c>
      <c r="P34" s="1">
        <v>9.9689999999999994</v>
      </c>
      <c r="T34" s="1">
        <v>4.4770000000000003</v>
      </c>
      <c r="U34" s="1">
        <v>4.8070000000000004</v>
      </c>
    </row>
    <row r="35" spans="1:21" x14ac:dyDescent="0.35">
      <c r="A35" s="1">
        <v>4.58</v>
      </c>
      <c r="B35" s="1">
        <v>5.4980000000000002</v>
      </c>
      <c r="F35" s="1">
        <v>4.6619999999999999</v>
      </c>
      <c r="G35" s="1">
        <v>5.5919999999999996</v>
      </c>
      <c r="J35" s="1">
        <v>4.6230000000000002</v>
      </c>
      <c r="K35" s="1">
        <v>11.907</v>
      </c>
      <c r="O35" s="1">
        <v>4.2469999999999999</v>
      </c>
      <c r="P35" s="1">
        <v>9.4250000000000007</v>
      </c>
      <c r="T35" s="1">
        <v>4.5869999999999997</v>
      </c>
      <c r="U35" s="1">
        <v>3.948</v>
      </c>
    </row>
    <row r="36" spans="1:21" x14ac:dyDescent="0.35">
      <c r="A36" s="1">
        <v>4.7080000000000002</v>
      </c>
      <c r="B36" s="1">
        <v>4.681</v>
      </c>
      <c r="F36" s="1">
        <v>4.7960000000000003</v>
      </c>
      <c r="G36" s="1">
        <v>4.7750000000000004</v>
      </c>
      <c r="J36" s="1">
        <v>4.91</v>
      </c>
      <c r="K36" s="1">
        <v>10.922000000000001</v>
      </c>
      <c r="O36" s="1">
        <v>4.4749999999999996</v>
      </c>
      <c r="P36" s="1">
        <v>8.9949999999999992</v>
      </c>
      <c r="T36" s="1">
        <v>4.6749999999999998</v>
      </c>
      <c r="U36" s="1">
        <v>3.089</v>
      </c>
    </row>
    <row r="37" spans="1:21" x14ac:dyDescent="0.35">
      <c r="A37" s="1">
        <v>4.8140000000000001</v>
      </c>
      <c r="B37" s="1">
        <v>3.8540000000000001</v>
      </c>
      <c r="F37" s="1">
        <v>4.9020000000000001</v>
      </c>
      <c r="G37" s="1">
        <v>3.8639999999999999</v>
      </c>
      <c r="J37" s="1">
        <v>5.1689999999999996</v>
      </c>
      <c r="K37" s="1">
        <v>9.875</v>
      </c>
      <c r="O37" s="1">
        <v>4.6950000000000003</v>
      </c>
      <c r="P37" s="1">
        <v>8.702</v>
      </c>
      <c r="T37" s="1">
        <v>4.7409999999999997</v>
      </c>
      <c r="U37" s="1">
        <v>2.2309999999999999</v>
      </c>
    </row>
    <row r="38" spans="1:21" x14ac:dyDescent="0.35">
      <c r="A38" s="1">
        <v>4.9009999999999998</v>
      </c>
      <c r="B38" s="1">
        <v>3.016</v>
      </c>
      <c r="F38" s="1">
        <v>4.9870000000000001</v>
      </c>
      <c r="G38" s="1">
        <v>2.9430000000000001</v>
      </c>
      <c r="J38" s="1">
        <v>5.4039999999999999</v>
      </c>
      <c r="K38" s="1">
        <v>8.8070000000000004</v>
      </c>
      <c r="O38" s="1">
        <v>4.9089999999999998</v>
      </c>
      <c r="P38" s="1">
        <v>8.4090000000000007</v>
      </c>
      <c r="T38" s="1">
        <v>4.7859999999999996</v>
      </c>
      <c r="U38" s="1">
        <v>1.3819999999999999</v>
      </c>
    </row>
    <row r="39" spans="1:21" x14ac:dyDescent="0.35">
      <c r="A39" s="1">
        <v>4.9649999999999999</v>
      </c>
      <c r="B39" s="1">
        <v>2.1680000000000001</v>
      </c>
      <c r="F39" s="1">
        <v>5.05</v>
      </c>
      <c r="G39" s="1">
        <v>2.0529999999999999</v>
      </c>
      <c r="J39" s="1">
        <v>5.6109999999999998</v>
      </c>
      <c r="K39" s="1">
        <v>7.7279999999999998</v>
      </c>
      <c r="O39" s="1">
        <v>5.1189999999999998</v>
      </c>
      <c r="P39" s="1">
        <v>7.9379999999999997</v>
      </c>
      <c r="T39" s="1">
        <v>4.8099999999999996</v>
      </c>
      <c r="U39" s="1">
        <v>0.54500000000000004</v>
      </c>
    </row>
    <row r="40" spans="1:21" x14ac:dyDescent="0.35">
      <c r="A40" s="1">
        <v>5.0090000000000003</v>
      </c>
      <c r="B40" s="1">
        <v>1.3089999999999999</v>
      </c>
      <c r="F40" s="1">
        <v>5.0890000000000004</v>
      </c>
      <c r="G40" s="1">
        <v>1.1830000000000001</v>
      </c>
      <c r="J40" s="1">
        <v>5.79</v>
      </c>
      <c r="K40" s="1">
        <v>6.6289999999999996</v>
      </c>
      <c r="O40" s="1">
        <v>5.3120000000000003</v>
      </c>
      <c r="P40" s="1">
        <v>7.1840000000000002</v>
      </c>
      <c r="T40" s="1">
        <v>4.8129999999999997</v>
      </c>
      <c r="U40" s="1">
        <v>-0.28299999999999997</v>
      </c>
    </row>
    <row r="41" spans="1:21" x14ac:dyDescent="0.35">
      <c r="A41" s="1">
        <v>5.0309999999999997</v>
      </c>
      <c r="B41" s="1">
        <v>0.44</v>
      </c>
      <c r="F41" s="1">
        <v>5.1079999999999997</v>
      </c>
      <c r="G41" s="1">
        <v>0.32500000000000001</v>
      </c>
      <c r="J41" s="1">
        <v>5.9420000000000002</v>
      </c>
      <c r="K41" s="1">
        <v>5.5190000000000001</v>
      </c>
      <c r="O41" s="1">
        <v>5.4820000000000002</v>
      </c>
      <c r="P41" s="1">
        <v>6.21</v>
      </c>
      <c r="T41" s="1">
        <v>4.7960000000000003</v>
      </c>
      <c r="U41" s="1">
        <v>-1.1000000000000001</v>
      </c>
    </row>
    <row r="42" spans="1:21" x14ac:dyDescent="0.35">
      <c r="A42" s="1">
        <v>5.0309999999999997</v>
      </c>
      <c r="B42" s="1">
        <v>-0.44</v>
      </c>
      <c r="F42" s="1">
        <v>5.1070000000000002</v>
      </c>
      <c r="G42" s="1">
        <v>-0.52400000000000002</v>
      </c>
      <c r="J42" s="1">
        <v>6.0659999999999998</v>
      </c>
      <c r="K42" s="1">
        <v>4.3979999999999997</v>
      </c>
      <c r="O42" s="1">
        <v>5.6230000000000002</v>
      </c>
      <c r="P42" s="1">
        <v>5.173</v>
      </c>
      <c r="T42" s="1">
        <v>4.758</v>
      </c>
      <c r="U42" s="1">
        <v>-1.895</v>
      </c>
    </row>
    <row r="43" spans="1:21" x14ac:dyDescent="0.35">
      <c r="A43" s="1">
        <v>5.0090000000000003</v>
      </c>
      <c r="B43" s="1">
        <v>-1.3089999999999999</v>
      </c>
      <c r="F43" s="1">
        <v>5.0819999999999999</v>
      </c>
      <c r="G43" s="1">
        <v>-1.361</v>
      </c>
      <c r="J43" s="1">
        <v>6.1619999999999999</v>
      </c>
      <c r="K43" s="1">
        <v>3.278</v>
      </c>
      <c r="O43" s="1">
        <v>5.74</v>
      </c>
      <c r="P43" s="1">
        <v>4.1260000000000003</v>
      </c>
      <c r="T43" s="1">
        <v>4.7</v>
      </c>
      <c r="U43" s="1">
        <v>-2.66</v>
      </c>
    </row>
    <row r="44" spans="1:21" x14ac:dyDescent="0.35">
      <c r="A44" s="1">
        <v>4.9649999999999999</v>
      </c>
      <c r="B44" s="1">
        <v>-2.157</v>
      </c>
      <c r="F44" s="1">
        <v>5.0380000000000003</v>
      </c>
      <c r="G44" s="1">
        <v>-2.1680000000000001</v>
      </c>
      <c r="J44" s="1">
        <v>6.23</v>
      </c>
      <c r="K44" s="1">
        <v>2.1680000000000001</v>
      </c>
      <c r="O44" s="1">
        <v>5.8310000000000004</v>
      </c>
      <c r="P44" s="1">
        <v>3.0790000000000002</v>
      </c>
      <c r="T44" s="1">
        <v>4.6239999999999997</v>
      </c>
      <c r="U44" s="1">
        <v>-3.403</v>
      </c>
    </row>
    <row r="45" spans="1:21" x14ac:dyDescent="0.35">
      <c r="A45" s="1">
        <v>4.9009999999999998</v>
      </c>
      <c r="B45" s="1">
        <v>-2.9950000000000001</v>
      </c>
      <c r="F45" s="1">
        <v>4.9729999999999999</v>
      </c>
      <c r="G45" s="1">
        <v>-2.9430000000000001</v>
      </c>
      <c r="J45" s="1">
        <v>6.2709999999999999</v>
      </c>
      <c r="K45" s="1">
        <v>1.079</v>
      </c>
      <c r="O45" s="1">
        <v>5.8940000000000001</v>
      </c>
      <c r="P45" s="1">
        <v>2.0209999999999999</v>
      </c>
      <c r="T45" s="1">
        <v>4.53</v>
      </c>
      <c r="U45" s="1">
        <v>-4.1260000000000003</v>
      </c>
    </row>
    <row r="46" spans="1:21" x14ac:dyDescent="0.35">
      <c r="A46" s="1">
        <v>4.8159999999999998</v>
      </c>
      <c r="B46" s="1">
        <v>-3.8220000000000001</v>
      </c>
      <c r="F46" s="1">
        <v>4.8899999999999997</v>
      </c>
      <c r="G46" s="1">
        <v>-3.7069999999999999</v>
      </c>
      <c r="J46" s="1">
        <v>6.2830000000000004</v>
      </c>
      <c r="K46" s="1">
        <v>0.01</v>
      </c>
      <c r="O46" s="1">
        <v>5.931</v>
      </c>
      <c r="P46" s="1">
        <v>0.98399999999999999</v>
      </c>
      <c r="T46" s="1">
        <v>4.4169999999999998</v>
      </c>
      <c r="U46" s="1">
        <v>-4.8170000000000002</v>
      </c>
    </row>
    <row r="47" spans="1:21" x14ac:dyDescent="0.35">
      <c r="A47" s="1">
        <v>4.7089999999999996</v>
      </c>
      <c r="B47" s="1">
        <v>-4.6289999999999996</v>
      </c>
      <c r="F47" s="1">
        <v>4.7880000000000003</v>
      </c>
      <c r="G47" s="1">
        <v>-4.43</v>
      </c>
      <c r="J47" s="1">
        <v>6.2709999999999999</v>
      </c>
      <c r="K47" s="1">
        <v>-1.0580000000000001</v>
      </c>
      <c r="O47" s="1">
        <v>5.9420000000000002</v>
      </c>
      <c r="P47" s="1">
        <v>-3.1E-2</v>
      </c>
      <c r="T47" s="1">
        <v>4.2880000000000003</v>
      </c>
      <c r="U47" s="1">
        <v>-5.4660000000000002</v>
      </c>
    </row>
    <row r="48" spans="1:21" x14ac:dyDescent="0.35">
      <c r="A48" s="1">
        <v>4.5839999999999996</v>
      </c>
      <c r="B48" s="1">
        <v>-5.4139999999999997</v>
      </c>
      <c r="F48" s="1">
        <v>4.6669999999999998</v>
      </c>
      <c r="G48" s="1">
        <v>-5.1210000000000004</v>
      </c>
      <c r="J48" s="1">
        <v>6.2309999999999999</v>
      </c>
      <c r="K48" s="1">
        <v>-2.105</v>
      </c>
      <c r="O48" s="1">
        <v>5.93</v>
      </c>
      <c r="P48" s="1">
        <v>-1.0369999999999999</v>
      </c>
      <c r="T48" s="1">
        <v>4.1440000000000001</v>
      </c>
      <c r="U48" s="1">
        <v>-6.0839999999999996</v>
      </c>
    </row>
    <row r="49" spans="1:21" x14ac:dyDescent="0.35">
      <c r="A49" s="1">
        <v>4.4390000000000001</v>
      </c>
      <c r="B49" s="1">
        <v>-6.1680000000000001</v>
      </c>
      <c r="F49" s="1">
        <v>4.532</v>
      </c>
      <c r="G49" s="1">
        <v>-5.77</v>
      </c>
      <c r="J49" s="1">
        <v>6.1639999999999997</v>
      </c>
      <c r="K49" s="1">
        <v>-3.1309999999999998</v>
      </c>
      <c r="O49" s="1">
        <v>5.89</v>
      </c>
      <c r="P49" s="1">
        <v>-2.0209999999999999</v>
      </c>
      <c r="T49" s="1">
        <v>3.984</v>
      </c>
      <c r="U49" s="1">
        <v>-6.6710000000000003</v>
      </c>
    </row>
    <row r="50" spans="1:21" x14ac:dyDescent="0.35">
      <c r="A50" s="1">
        <v>4.274</v>
      </c>
      <c r="B50" s="1">
        <v>-6.9009999999999998</v>
      </c>
      <c r="F50" s="1">
        <v>4.3780000000000001</v>
      </c>
      <c r="G50" s="1">
        <v>-6.3879999999999999</v>
      </c>
      <c r="J50" s="1">
        <v>6.0739999999999998</v>
      </c>
      <c r="K50" s="1">
        <v>-4.1050000000000004</v>
      </c>
      <c r="O50" s="1">
        <v>5.8280000000000003</v>
      </c>
      <c r="P50" s="1">
        <v>-2.9849999999999999</v>
      </c>
      <c r="T50" s="1">
        <v>3.8090000000000002</v>
      </c>
      <c r="U50" s="1">
        <v>-7.2149999999999999</v>
      </c>
    </row>
    <row r="51" spans="1:21" x14ac:dyDescent="0.35">
      <c r="A51" s="1">
        <v>4.093</v>
      </c>
      <c r="B51" s="1">
        <v>-7.6029999999999998</v>
      </c>
      <c r="F51" s="1">
        <v>4.2110000000000003</v>
      </c>
      <c r="G51" s="1">
        <v>-6.9740000000000002</v>
      </c>
      <c r="J51" s="1">
        <v>5.9580000000000002</v>
      </c>
      <c r="K51" s="1">
        <v>-5.0469999999999997</v>
      </c>
      <c r="O51" s="1">
        <v>5.7409999999999997</v>
      </c>
      <c r="P51" s="1">
        <v>-3.9060000000000001</v>
      </c>
      <c r="T51" s="1">
        <v>3.6219999999999999</v>
      </c>
      <c r="U51" s="1">
        <v>-7.718</v>
      </c>
    </row>
    <row r="52" spans="1:21" x14ac:dyDescent="0.35">
      <c r="A52" s="1">
        <v>3.8940000000000001</v>
      </c>
      <c r="B52" s="1">
        <v>-8.2829999999999995</v>
      </c>
      <c r="F52" s="1">
        <v>4.0289999999999999</v>
      </c>
      <c r="G52" s="1">
        <v>-7.5190000000000001</v>
      </c>
      <c r="J52" s="1">
        <v>5.8209999999999997</v>
      </c>
      <c r="K52" s="1">
        <v>-5.9589999999999996</v>
      </c>
      <c r="O52" s="1">
        <v>5.6310000000000002</v>
      </c>
      <c r="P52" s="1">
        <v>-4.7960000000000003</v>
      </c>
      <c r="T52" s="1">
        <v>3.423</v>
      </c>
      <c r="U52" s="1">
        <v>-8.1790000000000003</v>
      </c>
    </row>
    <row r="53" spans="1:21" x14ac:dyDescent="0.35">
      <c r="A53" s="1">
        <v>3.6789999999999998</v>
      </c>
      <c r="B53" s="1">
        <v>-8.9329999999999998</v>
      </c>
      <c r="F53" s="1">
        <v>3.8340000000000001</v>
      </c>
      <c r="G53" s="1">
        <v>-8.032</v>
      </c>
      <c r="J53" s="1">
        <v>5.66</v>
      </c>
      <c r="K53" s="1">
        <v>-6.8280000000000003</v>
      </c>
      <c r="O53" s="1">
        <v>5.5010000000000003</v>
      </c>
      <c r="P53" s="1">
        <v>-5.6440000000000001</v>
      </c>
      <c r="T53" s="1">
        <v>3.2120000000000002</v>
      </c>
      <c r="U53" s="1">
        <v>-8.6080000000000005</v>
      </c>
    </row>
    <row r="54" spans="1:21" x14ac:dyDescent="0.35">
      <c r="A54" s="1">
        <v>3.4460000000000002</v>
      </c>
      <c r="B54" s="1">
        <v>-9.5399999999999991</v>
      </c>
      <c r="F54" s="1">
        <v>3.6269999999999998</v>
      </c>
      <c r="G54" s="1">
        <v>-8.5030000000000001</v>
      </c>
      <c r="J54" s="1">
        <v>5.4790000000000001</v>
      </c>
      <c r="K54" s="1">
        <v>-7.6550000000000002</v>
      </c>
      <c r="O54" s="1">
        <v>5.3490000000000002</v>
      </c>
      <c r="P54" s="1">
        <v>-6.4509999999999996</v>
      </c>
      <c r="T54" s="1">
        <v>2.992</v>
      </c>
      <c r="U54" s="1">
        <v>-8.9949999999999992</v>
      </c>
    </row>
    <row r="55" spans="1:21" x14ac:dyDescent="0.35">
      <c r="A55" s="1">
        <v>3.2010000000000001</v>
      </c>
      <c r="B55" s="1">
        <v>-10.105</v>
      </c>
      <c r="F55" s="1">
        <v>3.4089999999999998</v>
      </c>
      <c r="G55" s="1">
        <v>-8.9329999999999998</v>
      </c>
      <c r="J55" s="1">
        <v>5.2759999999999998</v>
      </c>
      <c r="K55" s="1">
        <v>-8.4190000000000005</v>
      </c>
      <c r="O55" s="1">
        <v>5.1769999999999996</v>
      </c>
      <c r="P55" s="1">
        <v>-7.226</v>
      </c>
      <c r="T55" s="1">
        <v>2.7610000000000001</v>
      </c>
      <c r="U55" s="1">
        <v>-9.3309999999999995</v>
      </c>
    </row>
    <row r="56" spans="1:21" x14ac:dyDescent="0.35">
      <c r="A56" s="1">
        <v>2.9409999999999998</v>
      </c>
      <c r="B56" s="1">
        <v>-10.629</v>
      </c>
      <c r="F56" s="1">
        <v>3.1789999999999998</v>
      </c>
      <c r="G56" s="1">
        <v>-9.31</v>
      </c>
      <c r="J56" s="1">
        <v>5.056</v>
      </c>
      <c r="K56" s="1">
        <v>-9.1319999999999997</v>
      </c>
      <c r="O56" s="1">
        <v>4.9870000000000001</v>
      </c>
      <c r="P56" s="1">
        <v>-7.9480000000000004</v>
      </c>
      <c r="T56" s="1">
        <v>2.524</v>
      </c>
      <c r="U56" s="1">
        <v>-9.6129999999999995</v>
      </c>
    </row>
    <row r="57" spans="1:21" x14ac:dyDescent="0.35">
      <c r="A57" s="1">
        <v>2.669</v>
      </c>
      <c r="B57" s="1">
        <v>-11.111000000000001</v>
      </c>
      <c r="F57" s="1">
        <v>2.9420000000000002</v>
      </c>
      <c r="G57" s="1">
        <v>-9.6449999999999996</v>
      </c>
      <c r="J57" s="1">
        <v>4.819</v>
      </c>
      <c r="K57" s="1">
        <v>-9.7910000000000004</v>
      </c>
      <c r="O57" s="1">
        <v>4.7779999999999996</v>
      </c>
      <c r="P57" s="1">
        <v>-8.6289999999999996</v>
      </c>
      <c r="T57" s="1">
        <v>2.2810000000000001</v>
      </c>
      <c r="U57" s="1">
        <v>-9.8539999999999992</v>
      </c>
    </row>
    <row r="58" spans="1:21" x14ac:dyDescent="0.35">
      <c r="A58" s="1">
        <v>2.3839999999999999</v>
      </c>
      <c r="B58" s="1">
        <v>-11.54</v>
      </c>
      <c r="F58" s="1">
        <v>2.6970000000000001</v>
      </c>
      <c r="G58" s="1">
        <v>-9.9380000000000006</v>
      </c>
      <c r="J58" s="1">
        <v>4.5659999999999998</v>
      </c>
      <c r="K58" s="1">
        <v>-10.398999999999999</v>
      </c>
      <c r="O58" s="1">
        <v>4.5549999999999997</v>
      </c>
      <c r="P58" s="1">
        <v>-9.2569999999999997</v>
      </c>
      <c r="T58" s="1">
        <v>2.0310000000000001</v>
      </c>
      <c r="U58" s="1">
        <v>-10.053000000000001</v>
      </c>
    </row>
    <row r="59" spans="1:21" x14ac:dyDescent="0.35">
      <c r="A59" s="1">
        <v>2.0910000000000002</v>
      </c>
      <c r="B59" s="1">
        <v>-11.917</v>
      </c>
      <c r="F59" s="1">
        <v>2.444</v>
      </c>
      <c r="G59" s="1">
        <v>-10.199999999999999</v>
      </c>
      <c r="J59" s="1">
        <v>4.298</v>
      </c>
      <c r="K59" s="1">
        <v>-10.954000000000001</v>
      </c>
      <c r="O59" s="1">
        <v>4.3150000000000004</v>
      </c>
      <c r="P59" s="1">
        <v>-9.8230000000000004</v>
      </c>
      <c r="T59" s="1">
        <v>1.7769999999999999</v>
      </c>
      <c r="U59" s="1">
        <v>-10.199999999999999</v>
      </c>
    </row>
    <row r="60" spans="1:21" x14ac:dyDescent="0.35">
      <c r="A60" s="1">
        <v>1.788</v>
      </c>
      <c r="B60" s="1">
        <v>-12.231</v>
      </c>
      <c r="F60" s="1">
        <v>2.1869999999999998</v>
      </c>
      <c r="G60" s="1">
        <v>-10.42</v>
      </c>
      <c r="J60" s="1">
        <v>4.0179999999999998</v>
      </c>
      <c r="K60" s="1">
        <v>-11.456</v>
      </c>
      <c r="O60" s="1">
        <v>4.0620000000000003</v>
      </c>
      <c r="P60" s="1">
        <v>-10.336</v>
      </c>
      <c r="T60" s="1">
        <v>1.5209999999999999</v>
      </c>
      <c r="U60" s="1">
        <v>-10.304</v>
      </c>
    </row>
    <row r="61" spans="1:21" x14ac:dyDescent="0.35">
      <c r="A61" s="1">
        <v>1.478</v>
      </c>
      <c r="B61" s="1">
        <v>-12.504</v>
      </c>
      <c r="F61" s="1">
        <v>1.923</v>
      </c>
      <c r="G61" s="1">
        <v>-10.577</v>
      </c>
      <c r="J61" s="1">
        <v>3.7240000000000002</v>
      </c>
      <c r="K61" s="1">
        <v>-11.907</v>
      </c>
      <c r="O61" s="1">
        <v>3.798</v>
      </c>
      <c r="P61" s="1">
        <v>-10.807</v>
      </c>
      <c r="T61" s="1">
        <v>1.2609999999999999</v>
      </c>
      <c r="U61" s="1">
        <v>-10.367000000000001</v>
      </c>
    </row>
    <row r="62" spans="1:21" x14ac:dyDescent="0.35">
      <c r="A62" s="1">
        <v>1.1619999999999999</v>
      </c>
      <c r="B62" s="1">
        <v>-12.734</v>
      </c>
      <c r="F62" s="1">
        <v>1.6559999999999999</v>
      </c>
      <c r="G62" s="1">
        <v>-10.680999999999999</v>
      </c>
      <c r="J62" s="1">
        <v>3.4209999999999998</v>
      </c>
      <c r="K62" s="1">
        <v>-12.305</v>
      </c>
      <c r="O62" s="1">
        <v>3.5219999999999998</v>
      </c>
      <c r="P62" s="1">
        <v>-11.236000000000001</v>
      </c>
      <c r="T62" s="1">
        <v>1.0009999999999999</v>
      </c>
      <c r="U62" s="1">
        <v>-10.378</v>
      </c>
    </row>
    <row r="63" spans="1:21" x14ac:dyDescent="0.35">
      <c r="A63" s="1">
        <v>0.84</v>
      </c>
      <c r="B63" s="1">
        <v>-12.901</v>
      </c>
      <c r="F63" s="1">
        <v>1.389</v>
      </c>
      <c r="G63" s="1">
        <v>-10.734</v>
      </c>
      <c r="J63" s="1">
        <v>3.109</v>
      </c>
      <c r="K63" s="1">
        <v>-12.64</v>
      </c>
      <c r="O63" s="1">
        <v>3.234</v>
      </c>
      <c r="P63" s="1">
        <v>-11.613</v>
      </c>
      <c r="T63" s="1">
        <v>0.74099999999999999</v>
      </c>
      <c r="U63" s="1">
        <v>-10.324999999999999</v>
      </c>
    </row>
    <row r="64" spans="1:21" x14ac:dyDescent="0.35">
      <c r="A64" s="1">
        <v>0.51500000000000001</v>
      </c>
      <c r="B64" s="1">
        <v>-12.996</v>
      </c>
      <c r="F64" s="1">
        <v>1.1180000000000001</v>
      </c>
      <c r="G64" s="1">
        <v>-10.755000000000001</v>
      </c>
      <c r="J64" s="1">
        <v>2.7879999999999998</v>
      </c>
      <c r="K64" s="1">
        <v>-12.922000000000001</v>
      </c>
      <c r="O64" s="1">
        <v>2.9409999999999998</v>
      </c>
      <c r="P64" s="1">
        <v>-11.938000000000001</v>
      </c>
      <c r="T64" s="1">
        <v>0.48399999999999999</v>
      </c>
      <c r="U64" s="1">
        <v>-10.231</v>
      </c>
    </row>
    <row r="65" spans="1:21" x14ac:dyDescent="0.35">
      <c r="A65" s="1">
        <v>0.19</v>
      </c>
      <c r="B65" s="1">
        <v>-13.038</v>
      </c>
      <c r="F65" s="1">
        <v>0.85</v>
      </c>
      <c r="G65" s="1">
        <v>-10.734</v>
      </c>
      <c r="J65" s="1">
        <v>2.4609999999999999</v>
      </c>
      <c r="K65" s="1">
        <v>-13.153</v>
      </c>
      <c r="O65" s="1">
        <v>2.637</v>
      </c>
      <c r="P65" s="1">
        <v>-12.221</v>
      </c>
      <c r="T65" s="1">
        <v>0.22900000000000001</v>
      </c>
      <c r="U65" s="1">
        <v>-10.105</v>
      </c>
    </row>
    <row r="66" spans="1:21" x14ac:dyDescent="0.35">
      <c r="A66" s="1">
        <v>-0.13700000000000001</v>
      </c>
      <c r="B66" s="1">
        <v>-13.026999999999999</v>
      </c>
      <c r="F66" s="1">
        <v>0.58099999999999996</v>
      </c>
      <c r="G66" s="1">
        <v>-10.65</v>
      </c>
      <c r="J66" s="1">
        <v>2.13</v>
      </c>
      <c r="K66" s="1">
        <v>-13.331</v>
      </c>
      <c r="O66" s="1">
        <v>2.3279999999999998</v>
      </c>
      <c r="P66" s="1">
        <v>-12.441000000000001</v>
      </c>
      <c r="T66" s="1">
        <v>-2.1999999999999999E-2</v>
      </c>
      <c r="U66" s="1">
        <v>-9.9480000000000004</v>
      </c>
    </row>
    <row r="67" spans="1:21" x14ac:dyDescent="0.35">
      <c r="A67" s="1">
        <v>-0.46300000000000002</v>
      </c>
      <c r="B67" s="1">
        <v>-12.964</v>
      </c>
      <c r="F67" s="1">
        <v>0.316</v>
      </c>
      <c r="G67" s="1">
        <v>-10.513999999999999</v>
      </c>
      <c r="J67" s="1">
        <v>1.794</v>
      </c>
      <c r="K67" s="1">
        <v>-13.456</v>
      </c>
      <c r="O67" s="1">
        <v>2.0139999999999998</v>
      </c>
      <c r="P67" s="1">
        <v>-12.587</v>
      </c>
      <c r="T67" s="1">
        <v>-0.26900000000000002</v>
      </c>
      <c r="U67" s="1">
        <v>-9.76</v>
      </c>
    </row>
    <row r="68" spans="1:21" x14ac:dyDescent="0.35">
      <c r="A68" s="1">
        <v>-0.78500000000000003</v>
      </c>
      <c r="B68" s="1">
        <v>-12.849</v>
      </c>
      <c r="F68" s="1">
        <v>5.5E-2</v>
      </c>
      <c r="G68" s="1">
        <v>-10.336</v>
      </c>
      <c r="J68" s="1">
        <v>1.456</v>
      </c>
      <c r="K68" s="1">
        <v>-13.509</v>
      </c>
      <c r="O68" s="1">
        <v>1.698</v>
      </c>
      <c r="P68" s="1">
        <v>-12.692</v>
      </c>
      <c r="T68" s="1">
        <v>-0.51100000000000001</v>
      </c>
      <c r="U68" s="1">
        <v>-9.5299999999999994</v>
      </c>
    </row>
    <row r="69" spans="1:21" x14ac:dyDescent="0.35">
      <c r="A69" s="1">
        <v>-1.1060000000000001</v>
      </c>
      <c r="B69" s="1">
        <v>-12.692</v>
      </c>
      <c r="F69" s="1">
        <v>-0.20100000000000001</v>
      </c>
      <c r="G69" s="1">
        <v>-10.137</v>
      </c>
      <c r="J69" s="1">
        <v>1.117</v>
      </c>
      <c r="K69" s="1">
        <v>-13.497999999999999</v>
      </c>
      <c r="O69" s="1">
        <v>1.379</v>
      </c>
      <c r="P69" s="1">
        <v>-12.755000000000001</v>
      </c>
      <c r="T69" s="1">
        <v>-0.746</v>
      </c>
      <c r="U69" s="1">
        <v>-9.2569999999999997</v>
      </c>
    </row>
    <row r="70" spans="1:21" x14ac:dyDescent="0.35">
      <c r="A70" s="1">
        <v>-1.4219999999999999</v>
      </c>
      <c r="B70" s="1">
        <v>-12.472</v>
      </c>
      <c r="F70" s="1">
        <v>-0.45200000000000001</v>
      </c>
      <c r="G70" s="1">
        <v>-9.9060000000000006</v>
      </c>
      <c r="J70" s="1">
        <v>0.78100000000000003</v>
      </c>
      <c r="K70" s="1">
        <v>-13.436</v>
      </c>
      <c r="O70" s="1">
        <v>1.0589999999999999</v>
      </c>
      <c r="P70" s="1">
        <v>-12.755000000000001</v>
      </c>
      <c r="T70" s="1">
        <v>-0.97399999999999998</v>
      </c>
      <c r="U70" s="1">
        <v>-8.9429999999999996</v>
      </c>
    </row>
    <row r="71" spans="1:21" x14ac:dyDescent="0.35">
      <c r="A71" s="1">
        <v>-1.7310000000000001</v>
      </c>
      <c r="B71" s="1">
        <v>-12.189</v>
      </c>
      <c r="F71" s="1">
        <v>-0.69699999999999995</v>
      </c>
      <c r="G71" s="1">
        <v>-9.6240000000000006</v>
      </c>
      <c r="J71" s="1">
        <v>0.44500000000000001</v>
      </c>
      <c r="K71" s="1">
        <v>-13.31</v>
      </c>
      <c r="O71" s="1">
        <v>0.74</v>
      </c>
      <c r="P71" s="1">
        <v>-12.682</v>
      </c>
      <c r="T71" s="1">
        <v>-1.194</v>
      </c>
      <c r="U71" s="1">
        <v>-8.6080000000000005</v>
      </c>
    </row>
    <row r="72" spans="1:21" x14ac:dyDescent="0.35">
      <c r="A72" s="1">
        <v>-2.0310000000000001</v>
      </c>
      <c r="B72" s="1">
        <v>-11.865</v>
      </c>
      <c r="F72" s="1">
        <v>-0.93500000000000005</v>
      </c>
      <c r="G72" s="1">
        <v>-9.2889999999999997</v>
      </c>
      <c r="J72" s="1">
        <v>0.113</v>
      </c>
      <c r="K72" s="1">
        <v>-13.121</v>
      </c>
      <c r="O72" s="1">
        <v>0.42399999999999999</v>
      </c>
      <c r="P72" s="1">
        <v>-12.555999999999999</v>
      </c>
      <c r="T72" s="1">
        <v>-1.4039999999999999</v>
      </c>
      <c r="U72" s="1">
        <v>-8.2520000000000007</v>
      </c>
    </row>
    <row r="73" spans="1:21" x14ac:dyDescent="0.35">
      <c r="A73" s="1">
        <v>-2.3250000000000002</v>
      </c>
      <c r="B73" s="1">
        <v>-11.497999999999999</v>
      </c>
      <c r="F73" s="1">
        <v>-1.1619999999999999</v>
      </c>
      <c r="G73" s="1">
        <v>-8.9220000000000006</v>
      </c>
      <c r="J73" s="1">
        <v>-0.21199999999999999</v>
      </c>
      <c r="K73" s="1">
        <v>-12.87</v>
      </c>
      <c r="O73" s="1">
        <v>0.112</v>
      </c>
      <c r="P73" s="1">
        <v>-12.388</v>
      </c>
      <c r="T73" s="1">
        <v>-1.607</v>
      </c>
      <c r="U73" s="1">
        <v>-7.8639999999999999</v>
      </c>
    </row>
    <row r="74" spans="1:21" x14ac:dyDescent="0.35">
      <c r="A74" s="1">
        <v>-2.6080000000000001</v>
      </c>
      <c r="B74" s="1">
        <v>-11.09</v>
      </c>
      <c r="F74" s="1">
        <v>-1.381</v>
      </c>
      <c r="G74" s="1">
        <v>-8.5350000000000001</v>
      </c>
      <c r="J74" s="1">
        <v>-0.53100000000000003</v>
      </c>
      <c r="K74" s="1">
        <v>-12.587</v>
      </c>
      <c r="O74" s="1">
        <v>-0.19600000000000001</v>
      </c>
      <c r="P74" s="1">
        <v>-12.167999999999999</v>
      </c>
      <c r="T74" s="1">
        <v>-1.7989999999999999</v>
      </c>
      <c r="U74" s="1">
        <v>-7.4459999999999997</v>
      </c>
    </row>
    <row r="75" spans="1:21" x14ac:dyDescent="0.35">
      <c r="A75" s="1">
        <v>-2.879</v>
      </c>
      <c r="B75" s="1">
        <v>-10.619</v>
      </c>
      <c r="F75" s="1">
        <v>-1.59</v>
      </c>
      <c r="G75" s="1">
        <v>-8.1259999999999994</v>
      </c>
      <c r="J75" s="1">
        <v>-0.84199999999999997</v>
      </c>
      <c r="K75" s="1">
        <v>-12.263</v>
      </c>
      <c r="O75" s="1">
        <v>-0.498</v>
      </c>
      <c r="P75" s="1">
        <v>-11.896000000000001</v>
      </c>
      <c r="T75" s="1">
        <v>-1.9790000000000001</v>
      </c>
      <c r="U75" s="1">
        <v>-6.9950000000000001</v>
      </c>
    </row>
    <row r="76" spans="1:21" x14ac:dyDescent="0.35">
      <c r="A76" s="1">
        <v>-3.14</v>
      </c>
      <c r="B76" s="1">
        <v>-10.105</v>
      </c>
      <c r="F76" s="1">
        <v>-1.788</v>
      </c>
      <c r="G76" s="1">
        <v>-7.6859999999999999</v>
      </c>
      <c r="J76" s="1">
        <v>-1.145</v>
      </c>
      <c r="K76" s="1">
        <v>-11.885999999999999</v>
      </c>
      <c r="O76" s="1">
        <v>-0.79200000000000004</v>
      </c>
      <c r="P76" s="1">
        <v>-11.582000000000001</v>
      </c>
      <c r="T76" s="1">
        <v>-2.149</v>
      </c>
      <c r="U76" s="1">
        <v>-6.5350000000000001</v>
      </c>
    </row>
    <row r="77" spans="1:21" x14ac:dyDescent="0.35">
      <c r="A77" s="1">
        <v>-3.3849999999999998</v>
      </c>
      <c r="B77" s="1">
        <v>-9.5399999999999991</v>
      </c>
      <c r="F77" s="1">
        <v>-1.974</v>
      </c>
      <c r="G77" s="1">
        <v>-7.2050000000000001</v>
      </c>
      <c r="J77" s="1">
        <v>-1.4370000000000001</v>
      </c>
      <c r="K77" s="1">
        <v>-11.456</v>
      </c>
      <c r="O77" s="1">
        <v>-1.0780000000000001</v>
      </c>
      <c r="P77" s="1">
        <v>-11.226000000000001</v>
      </c>
      <c r="T77" s="1">
        <v>-2.306</v>
      </c>
      <c r="U77" s="1">
        <v>-6.0529999999999999</v>
      </c>
    </row>
    <row r="78" spans="1:21" x14ac:dyDescent="0.35">
      <c r="A78" s="1">
        <v>-3.6179999999999999</v>
      </c>
      <c r="B78" s="1">
        <v>-8.9429999999999996</v>
      </c>
      <c r="F78" s="1">
        <v>-2.149</v>
      </c>
      <c r="G78" s="1">
        <v>-6.6920000000000002</v>
      </c>
      <c r="J78" s="1">
        <v>-1.718</v>
      </c>
      <c r="K78" s="1">
        <v>-10.975</v>
      </c>
      <c r="O78" s="1">
        <v>-1.3540000000000001</v>
      </c>
      <c r="P78" s="1">
        <v>-10.827999999999999</v>
      </c>
      <c r="T78" s="1">
        <v>-2.452</v>
      </c>
      <c r="U78" s="1">
        <v>-5.55</v>
      </c>
    </row>
    <row r="79" spans="1:21" x14ac:dyDescent="0.35">
      <c r="A79" s="1">
        <v>-3.8330000000000002</v>
      </c>
      <c r="B79" s="1">
        <v>-8.3149999999999995</v>
      </c>
      <c r="F79" s="1">
        <v>-2.3090000000000002</v>
      </c>
      <c r="G79" s="1">
        <v>-6.1680000000000001</v>
      </c>
      <c r="J79" s="1">
        <v>-1.9870000000000001</v>
      </c>
      <c r="K79" s="1">
        <v>-10.462</v>
      </c>
      <c r="O79" s="1">
        <v>-1.619</v>
      </c>
      <c r="P79" s="1">
        <v>-10.378</v>
      </c>
      <c r="T79" s="1">
        <v>-2.5840000000000001</v>
      </c>
      <c r="U79" s="1">
        <v>-5.0270000000000001</v>
      </c>
    </row>
    <row r="80" spans="1:21" x14ac:dyDescent="0.35">
      <c r="A80" s="1">
        <v>-4.0339999999999998</v>
      </c>
      <c r="B80" s="1">
        <v>-7.6449999999999996</v>
      </c>
      <c r="F80" s="1">
        <v>-2.4569999999999999</v>
      </c>
      <c r="G80" s="1">
        <v>-5.6440000000000001</v>
      </c>
      <c r="J80" s="1">
        <v>-2.242</v>
      </c>
      <c r="K80" s="1">
        <v>-9.9169999999999998</v>
      </c>
      <c r="O80" s="1">
        <v>-1.8740000000000001</v>
      </c>
      <c r="P80" s="1">
        <v>-9.8859999999999992</v>
      </c>
      <c r="T80" s="1">
        <v>-2.7029999999999998</v>
      </c>
      <c r="U80" s="1">
        <v>-4.492</v>
      </c>
    </row>
    <row r="81" spans="1:21" x14ac:dyDescent="0.35">
      <c r="A81" s="1">
        <v>-4.2160000000000002</v>
      </c>
      <c r="B81" s="1">
        <v>-6.9429999999999996</v>
      </c>
      <c r="F81" s="1">
        <v>-2.5920000000000001</v>
      </c>
      <c r="G81" s="1">
        <v>-5.1100000000000003</v>
      </c>
      <c r="J81" s="1">
        <v>-2.4830000000000001</v>
      </c>
      <c r="K81" s="1">
        <v>-9.3409999999999993</v>
      </c>
      <c r="O81" s="1">
        <v>-2.1139999999999999</v>
      </c>
      <c r="P81" s="1">
        <v>-9.3620000000000001</v>
      </c>
      <c r="T81" s="1">
        <v>-2.8090000000000002</v>
      </c>
      <c r="U81" s="1">
        <v>-3.9580000000000002</v>
      </c>
    </row>
    <row r="82" spans="1:21" x14ac:dyDescent="0.35">
      <c r="A82" s="1">
        <v>-4.3810000000000002</v>
      </c>
      <c r="B82" s="1">
        <v>-6.1989999999999998</v>
      </c>
      <c r="F82" s="1">
        <v>-2.7130000000000001</v>
      </c>
      <c r="G82" s="1">
        <v>-4.5549999999999997</v>
      </c>
      <c r="J82" s="1">
        <v>-2.71</v>
      </c>
      <c r="K82" s="1">
        <v>-8.734</v>
      </c>
      <c r="O82" s="1">
        <v>-2.3420000000000001</v>
      </c>
      <c r="P82" s="1">
        <v>-8.8170000000000002</v>
      </c>
      <c r="T82" s="1">
        <v>-2.9009999999999998</v>
      </c>
      <c r="U82" s="1">
        <v>-3.4140000000000001</v>
      </c>
    </row>
    <row r="83" spans="1:21" x14ac:dyDescent="0.35">
      <c r="A83" s="1">
        <v>-4.5270000000000001</v>
      </c>
      <c r="B83" s="1">
        <v>-5.4349999999999996</v>
      </c>
      <c r="F83" s="1">
        <v>-2.82</v>
      </c>
      <c r="G83" s="1">
        <v>-3.99</v>
      </c>
      <c r="J83" s="1">
        <v>-2.92</v>
      </c>
      <c r="K83" s="1">
        <v>-8.1050000000000004</v>
      </c>
      <c r="O83" s="1">
        <v>-2.556</v>
      </c>
      <c r="P83" s="1">
        <v>-8.2520000000000007</v>
      </c>
      <c r="T83" s="1">
        <v>-2.98</v>
      </c>
      <c r="U83" s="1">
        <v>-2.859</v>
      </c>
    </row>
    <row r="84" spans="1:21" x14ac:dyDescent="0.35">
      <c r="A84" s="1">
        <v>-4.6529999999999996</v>
      </c>
      <c r="B84" s="1">
        <v>-4.6500000000000004</v>
      </c>
      <c r="F84" s="1">
        <v>-2.9119999999999999</v>
      </c>
      <c r="G84" s="1">
        <v>-3.4140000000000001</v>
      </c>
      <c r="J84" s="1">
        <v>-3.1150000000000002</v>
      </c>
      <c r="K84" s="1">
        <v>-7.4560000000000004</v>
      </c>
      <c r="O84" s="1">
        <v>-2.7549999999999999</v>
      </c>
      <c r="P84" s="1">
        <v>-7.6550000000000002</v>
      </c>
      <c r="T84" s="1">
        <v>-3.044</v>
      </c>
      <c r="U84" s="1">
        <v>-2.3039999999999998</v>
      </c>
    </row>
    <row r="85" spans="1:21" x14ac:dyDescent="0.35">
      <c r="A85" s="1">
        <v>-4.76</v>
      </c>
      <c r="B85" s="1">
        <v>-3.8639999999999999</v>
      </c>
      <c r="F85" s="1">
        <v>-2.9910000000000001</v>
      </c>
      <c r="G85" s="1">
        <v>-2.8380000000000001</v>
      </c>
      <c r="J85" s="1">
        <v>-3.294</v>
      </c>
      <c r="K85" s="1">
        <v>-6.7750000000000004</v>
      </c>
      <c r="O85" s="1">
        <v>-2.9390000000000001</v>
      </c>
      <c r="P85" s="1">
        <v>-7.0369999999999999</v>
      </c>
      <c r="T85" s="1">
        <v>-3.0939999999999999</v>
      </c>
      <c r="U85" s="1">
        <v>-1.7490000000000001</v>
      </c>
    </row>
    <row r="86" spans="1:21" x14ac:dyDescent="0.35">
      <c r="A86" s="1">
        <v>-4.8460000000000001</v>
      </c>
      <c r="B86" s="1">
        <v>-3.0579999999999998</v>
      </c>
      <c r="F86" s="1">
        <v>-3.0539999999999998</v>
      </c>
      <c r="G86" s="1">
        <v>-2.262</v>
      </c>
      <c r="J86" s="1">
        <v>-3.4540000000000002</v>
      </c>
      <c r="K86" s="1">
        <v>-6.0739999999999998</v>
      </c>
      <c r="O86" s="1">
        <v>-3.1070000000000002</v>
      </c>
      <c r="P86" s="1">
        <v>-6.3979999999999997</v>
      </c>
      <c r="T86" s="1">
        <v>-3.1320000000000001</v>
      </c>
      <c r="U86" s="1">
        <v>-1.194</v>
      </c>
    </row>
    <row r="87" spans="1:21" x14ac:dyDescent="0.35">
      <c r="A87" s="1">
        <v>-4.9130000000000003</v>
      </c>
      <c r="B87" s="1">
        <v>-2.2309999999999999</v>
      </c>
      <c r="F87" s="1">
        <v>-3.1040000000000001</v>
      </c>
      <c r="G87" s="1">
        <v>-1.6759999999999999</v>
      </c>
      <c r="J87" s="1">
        <v>-3.597</v>
      </c>
      <c r="K87" s="1">
        <v>-5.3719999999999999</v>
      </c>
      <c r="O87" s="1">
        <v>-3.2589999999999999</v>
      </c>
      <c r="P87" s="1">
        <v>-5.7389999999999999</v>
      </c>
      <c r="T87" s="1">
        <v>-3.1539999999999999</v>
      </c>
      <c r="U87" s="1">
        <v>-0.64900000000000002</v>
      </c>
    </row>
    <row r="88" spans="1:21" x14ac:dyDescent="0.35">
      <c r="A88" s="1">
        <v>-4.9569999999999999</v>
      </c>
      <c r="B88" s="1">
        <v>-1.403</v>
      </c>
      <c r="F88" s="1">
        <v>-3.1379999999999999</v>
      </c>
      <c r="G88" s="1">
        <v>-1.089</v>
      </c>
      <c r="J88" s="1">
        <v>-3.7229999999999999</v>
      </c>
      <c r="K88" s="1">
        <v>-4.6710000000000003</v>
      </c>
      <c r="O88" s="1">
        <v>-3.3940000000000001</v>
      </c>
      <c r="P88" s="1">
        <v>-5.0579999999999998</v>
      </c>
      <c r="T88" s="1">
        <v>-3.1640000000000001</v>
      </c>
      <c r="U88" s="1">
        <v>-0.105</v>
      </c>
    </row>
    <row r="89" spans="1:21" x14ac:dyDescent="0.35">
      <c r="A89" s="1">
        <v>-4.9829999999999997</v>
      </c>
      <c r="B89" s="1">
        <v>-0.56499999999999995</v>
      </c>
      <c r="F89" s="1">
        <v>-3.157</v>
      </c>
      <c r="G89" s="1">
        <v>-0.51300000000000001</v>
      </c>
      <c r="J89" s="1">
        <v>-3.831</v>
      </c>
      <c r="K89" s="1">
        <v>-3.9580000000000002</v>
      </c>
      <c r="O89" s="1">
        <v>-3.512</v>
      </c>
      <c r="P89" s="1">
        <v>-4.3769999999999998</v>
      </c>
      <c r="T89" s="1">
        <v>-3.16</v>
      </c>
      <c r="U89" s="1">
        <v>0.42899999999999999</v>
      </c>
    </row>
    <row r="90" spans="1:21" x14ac:dyDescent="0.35">
      <c r="A90" s="1">
        <v>-4.9870000000000001</v>
      </c>
      <c r="B90" s="1">
        <v>0.27200000000000002</v>
      </c>
      <c r="F90" s="1">
        <v>-3.1640000000000001</v>
      </c>
      <c r="G90" s="1">
        <v>4.2000000000000003E-2</v>
      </c>
      <c r="J90" s="1">
        <v>-3.9209999999999998</v>
      </c>
      <c r="K90" s="1">
        <v>-3.2360000000000002</v>
      </c>
      <c r="O90" s="1">
        <v>-3.613</v>
      </c>
      <c r="P90" s="1">
        <v>-3.6970000000000001</v>
      </c>
      <c r="T90" s="1">
        <v>-3.1419999999999999</v>
      </c>
      <c r="U90" s="1">
        <v>0.96299999999999997</v>
      </c>
    </row>
    <row r="91" spans="1:21" x14ac:dyDescent="0.35">
      <c r="A91" s="1">
        <v>-4.968</v>
      </c>
      <c r="B91" s="1">
        <v>1.121</v>
      </c>
      <c r="F91" s="1">
        <v>-3.1560000000000001</v>
      </c>
      <c r="G91" s="1">
        <v>0.59699999999999998</v>
      </c>
      <c r="J91" s="1">
        <v>-3.9929999999999999</v>
      </c>
      <c r="K91" s="1">
        <v>-2.5129999999999999</v>
      </c>
      <c r="O91" s="1">
        <v>-3.698</v>
      </c>
      <c r="P91" s="1">
        <v>-3.016</v>
      </c>
      <c r="T91" s="1">
        <v>-3.1120000000000001</v>
      </c>
      <c r="U91" s="1">
        <v>1.4770000000000001</v>
      </c>
    </row>
    <row r="92" spans="1:21" x14ac:dyDescent="0.35">
      <c r="A92" s="1">
        <v>-4.931</v>
      </c>
      <c r="B92" s="1">
        <v>1.958</v>
      </c>
      <c r="F92" s="1">
        <v>-3.1339999999999999</v>
      </c>
      <c r="G92" s="1">
        <v>1.141</v>
      </c>
      <c r="J92" s="1">
        <v>-4.0460000000000003</v>
      </c>
      <c r="K92" s="1">
        <v>-1.7909999999999999</v>
      </c>
      <c r="O92" s="1">
        <v>-3.7639999999999998</v>
      </c>
      <c r="P92" s="1">
        <v>-2.3250000000000002</v>
      </c>
      <c r="T92" s="1">
        <v>-3.0680000000000001</v>
      </c>
      <c r="U92" s="1">
        <v>1.958</v>
      </c>
    </row>
    <row r="93" spans="1:21" x14ac:dyDescent="0.35">
      <c r="A93" s="1">
        <v>-4.8710000000000004</v>
      </c>
      <c r="B93" s="1">
        <v>2.7749999999999999</v>
      </c>
      <c r="F93" s="1">
        <v>-3.0979999999999999</v>
      </c>
      <c r="G93" s="1">
        <v>1.655</v>
      </c>
      <c r="J93" s="1">
        <v>-4.0830000000000002</v>
      </c>
      <c r="K93" s="1">
        <v>-1.0680000000000001</v>
      </c>
      <c r="O93" s="1">
        <v>-3.8140000000000001</v>
      </c>
      <c r="P93" s="1">
        <v>-1.6339999999999999</v>
      </c>
      <c r="T93" s="1">
        <v>-3.0129999999999999</v>
      </c>
      <c r="U93" s="1">
        <v>2.4300000000000002</v>
      </c>
    </row>
    <row r="94" spans="1:21" x14ac:dyDescent="0.35">
      <c r="A94" s="1">
        <v>-4.7910000000000004</v>
      </c>
      <c r="B94" s="1">
        <v>3.581</v>
      </c>
      <c r="F94" s="1">
        <v>-3.05</v>
      </c>
      <c r="G94" s="1">
        <v>2.1469999999999998</v>
      </c>
      <c r="J94" s="1">
        <v>-4.0999999999999996</v>
      </c>
      <c r="K94" s="1">
        <v>-0.35599999999999998</v>
      </c>
      <c r="O94" s="1">
        <v>-3.8450000000000002</v>
      </c>
      <c r="P94" s="1">
        <v>-0.96299999999999997</v>
      </c>
      <c r="T94" s="1">
        <v>-2.9470000000000001</v>
      </c>
      <c r="U94" s="1">
        <v>2.88</v>
      </c>
    </row>
    <row r="95" spans="1:21" x14ac:dyDescent="0.35">
      <c r="A95" s="1">
        <v>-4.6920000000000002</v>
      </c>
      <c r="B95" s="1">
        <v>4.367</v>
      </c>
      <c r="F95" s="1">
        <v>-2.9910000000000001</v>
      </c>
      <c r="G95" s="1">
        <v>2.6280000000000001</v>
      </c>
      <c r="J95" s="1">
        <v>-4.0999999999999996</v>
      </c>
      <c r="K95" s="1">
        <v>0.34599999999999997</v>
      </c>
      <c r="O95" s="1">
        <v>-3.8610000000000002</v>
      </c>
      <c r="P95" s="1">
        <v>-0.30399999999999999</v>
      </c>
      <c r="T95" s="1">
        <v>-2.8679999999999999</v>
      </c>
      <c r="U95" s="1">
        <v>3.32</v>
      </c>
    </row>
    <row r="96" spans="1:21" x14ac:dyDescent="0.35">
      <c r="A96" s="1">
        <v>-4.5730000000000004</v>
      </c>
      <c r="B96" s="1">
        <v>5.1420000000000003</v>
      </c>
      <c r="F96" s="1">
        <v>-2.919</v>
      </c>
      <c r="G96" s="1">
        <v>3.1</v>
      </c>
      <c r="J96" s="1">
        <v>-4.0830000000000002</v>
      </c>
      <c r="K96" s="1">
        <v>1.026</v>
      </c>
      <c r="O96" s="1">
        <v>-3.8610000000000002</v>
      </c>
      <c r="P96" s="1">
        <v>0.35599999999999998</v>
      </c>
      <c r="T96" s="1">
        <v>-2.78</v>
      </c>
      <c r="U96" s="1">
        <v>3.7280000000000002</v>
      </c>
    </row>
    <row r="97" spans="1:21" x14ac:dyDescent="0.35">
      <c r="A97" s="1">
        <v>-4.4340000000000002</v>
      </c>
      <c r="B97" s="1">
        <v>5.8959999999999999</v>
      </c>
      <c r="F97" s="1">
        <v>-2.835</v>
      </c>
      <c r="G97" s="1">
        <v>3.54</v>
      </c>
      <c r="J97" s="1">
        <v>-4.048</v>
      </c>
      <c r="K97" s="1">
        <v>1.6859999999999999</v>
      </c>
      <c r="O97" s="1">
        <v>-3.8439999999999999</v>
      </c>
      <c r="P97" s="1">
        <v>1.016</v>
      </c>
      <c r="T97" s="1">
        <v>-2.681</v>
      </c>
      <c r="U97" s="1">
        <v>4.1050000000000004</v>
      </c>
    </row>
    <row r="98" spans="1:21" x14ac:dyDescent="0.35">
      <c r="A98" s="1">
        <v>-4.2770000000000001</v>
      </c>
      <c r="B98" s="1">
        <v>6.6180000000000003</v>
      </c>
      <c r="F98" s="1">
        <v>-2.7410000000000001</v>
      </c>
      <c r="G98" s="1">
        <v>3.948</v>
      </c>
      <c r="J98" s="1">
        <v>-3.9980000000000002</v>
      </c>
      <c r="K98" s="1">
        <v>2.3250000000000002</v>
      </c>
      <c r="O98" s="1">
        <v>-3.8090000000000002</v>
      </c>
      <c r="P98" s="1">
        <v>1.655</v>
      </c>
      <c r="T98" s="1">
        <v>-2.5750000000000002</v>
      </c>
      <c r="U98" s="1">
        <v>4.4720000000000004</v>
      </c>
    </row>
    <row r="99" spans="1:21" x14ac:dyDescent="0.35">
      <c r="A99" s="1">
        <v>-4.1029999999999998</v>
      </c>
      <c r="B99" s="1">
        <v>7.3090000000000002</v>
      </c>
      <c r="F99" s="1">
        <v>-2.637</v>
      </c>
      <c r="G99" s="1">
        <v>4.335</v>
      </c>
      <c r="J99" s="1">
        <v>-3.9319999999999999</v>
      </c>
      <c r="K99" s="1">
        <v>2.9529999999999998</v>
      </c>
      <c r="O99" s="1">
        <v>-3.76</v>
      </c>
      <c r="P99" s="1">
        <v>2.262</v>
      </c>
      <c r="T99" s="1">
        <v>-2.4580000000000002</v>
      </c>
      <c r="U99" s="1">
        <v>4.8170000000000002</v>
      </c>
    </row>
    <row r="100" spans="1:21" x14ac:dyDescent="0.35">
      <c r="A100" s="1">
        <v>-3.911</v>
      </c>
      <c r="B100" s="1">
        <v>7.9690000000000003</v>
      </c>
      <c r="F100" s="1">
        <v>-2.524</v>
      </c>
      <c r="G100" s="1">
        <v>4.702</v>
      </c>
      <c r="J100" s="1">
        <v>-3.85</v>
      </c>
      <c r="K100" s="1">
        <v>3.56</v>
      </c>
      <c r="O100" s="1">
        <v>-3.6960000000000002</v>
      </c>
      <c r="P100" s="1">
        <v>2.8380000000000001</v>
      </c>
      <c r="T100" s="1">
        <v>-2.3330000000000002</v>
      </c>
      <c r="U100" s="1">
        <v>5.1420000000000003</v>
      </c>
    </row>
    <row r="101" spans="1:21" x14ac:dyDescent="0.35">
      <c r="A101" s="1">
        <v>-3.7040000000000002</v>
      </c>
      <c r="B101" s="1">
        <v>8.5969999999999995</v>
      </c>
      <c r="F101" s="1">
        <v>-2.4020000000000001</v>
      </c>
      <c r="G101" s="1">
        <v>5.0369999999999999</v>
      </c>
      <c r="J101" s="1">
        <v>-3.7530000000000001</v>
      </c>
      <c r="K101" s="1">
        <v>4.1360000000000001</v>
      </c>
      <c r="O101" s="1">
        <v>-3.6179999999999999</v>
      </c>
      <c r="P101" s="1">
        <v>3.403</v>
      </c>
      <c r="T101" s="1">
        <v>-2.2010000000000001</v>
      </c>
      <c r="U101" s="1">
        <v>5.4349999999999996</v>
      </c>
    </row>
    <row r="102" spans="1:21" x14ac:dyDescent="0.35">
      <c r="A102" s="1">
        <v>-3.4809999999999999</v>
      </c>
      <c r="B102" s="1">
        <v>9.1839999999999993</v>
      </c>
      <c r="F102" s="1">
        <v>-2.2709999999999999</v>
      </c>
      <c r="G102" s="1">
        <v>5.3410000000000002</v>
      </c>
      <c r="J102" s="1">
        <v>-3.6429999999999998</v>
      </c>
      <c r="K102" s="1">
        <v>4.681</v>
      </c>
      <c r="O102" s="1">
        <v>-3.5259999999999998</v>
      </c>
      <c r="P102" s="1">
        <v>3.948</v>
      </c>
      <c r="T102" s="1">
        <v>-2.0609999999999999</v>
      </c>
      <c r="U102" s="1">
        <v>5.6970000000000001</v>
      </c>
    </row>
    <row r="103" spans="1:21" x14ac:dyDescent="0.35">
      <c r="A103" s="1">
        <v>-3.2440000000000002</v>
      </c>
      <c r="B103" s="1">
        <v>9.7390000000000008</v>
      </c>
      <c r="F103" s="1">
        <v>-2.1349999999999998</v>
      </c>
      <c r="G103" s="1">
        <v>5.6230000000000002</v>
      </c>
      <c r="J103" s="1">
        <v>-3.5190000000000001</v>
      </c>
      <c r="K103" s="1">
        <v>5.2050000000000001</v>
      </c>
      <c r="O103" s="1">
        <v>-3.42</v>
      </c>
      <c r="P103" s="1">
        <v>4.4610000000000003</v>
      </c>
      <c r="T103" s="1">
        <v>-1.915</v>
      </c>
      <c r="U103" s="1">
        <v>5.9379999999999997</v>
      </c>
    </row>
    <row r="104" spans="1:21" x14ac:dyDescent="0.35">
      <c r="A104" s="1">
        <v>-2.9940000000000002</v>
      </c>
      <c r="B104" s="1">
        <v>10.252000000000001</v>
      </c>
      <c r="F104" s="1">
        <v>-1.99</v>
      </c>
      <c r="G104" s="1">
        <v>5.8849999999999998</v>
      </c>
      <c r="J104" s="1">
        <v>-3.3820000000000001</v>
      </c>
      <c r="K104" s="1">
        <v>5.6970000000000001</v>
      </c>
      <c r="O104" s="1">
        <v>-3.302</v>
      </c>
      <c r="P104" s="1">
        <v>4.9429999999999996</v>
      </c>
      <c r="T104" s="1">
        <v>-1.764</v>
      </c>
      <c r="U104" s="1">
        <v>6.1470000000000002</v>
      </c>
    </row>
    <row r="105" spans="1:21" x14ac:dyDescent="0.35">
      <c r="A105" s="1">
        <v>-2.73</v>
      </c>
      <c r="B105" s="1">
        <v>10.712999999999999</v>
      </c>
      <c r="F105" s="1">
        <v>-1.839</v>
      </c>
      <c r="G105" s="1">
        <v>6.1159999999999997</v>
      </c>
      <c r="J105" s="1">
        <v>-3.2330000000000001</v>
      </c>
      <c r="K105" s="1">
        <v>6.1470000000000002</v>
      </c>
      <c r="O105" s="1">
        <v>-3.173</v>
      </c>
      <c r="P105" s="1">
        <v>5.3929999999999998</v>
      </c>
      <c r="T105" s="1">
        <v>-1.607</v>
      </c>
      <c r="U105" s="1">
        <v>6.3250000000000002</v>
      </c>
    </row>
    <row r="106" spans="1:21" x14ac:dyDescent="0.35">
      <c r="A106" s="1">
        <v>-2.4569999999999999</v>
      </c>
      <c r="B106" s="1">
        <v>11.111000000000001</v>
      </c>
      <c r="F106" s="1">
        <v>-1.6839999999999999</v>
      </c>
      <c r="G106" s="1">
        <v>6.3040000000000003</v>
      </c>
      <c r="J106" s="1">
        <v>-3.0739999999999998</v>
      </c>
      <c r="K106" s="1">
        <v>6.5549999999999997</v>
      </c>
      <c r="O106" s="1">
        <v>-3.032</v>
      </c>
      <c r="P106" s="1">
        <v>5.8220000000000001</v>
      </c>
      <c r="T106" s="1">
        <v>-1.4470000000000001</v>
      </c>
      <c r="U106" s="1">
        <v>6.4720000000000004</v>
      </c>
    </row>
    <row r="107" spans="1:21" x14ac:dyDescent="0.35">
      <c r="A107" s="1">
        <v>-2.1739999999999999</v>
      </c>
      <c r="B107" s="1">
        <v>11.467000000000001</v>
      </c>
      <c r="F107" s="1">
        <v>-1.524</v>
      </c>
      <c r="G107" s="1">
        <v>6.4720000000000004</v>
      </c>
      <c r="J107" s="1">
        <v>-2.9039999999999999</v>
      </c>
      <c r="K107" s="1">
        <v>6.9320000000000004</v>
      </c>
      <c r="O107" s="1">
        <v>-2.8809999999999998</v>
      </c>
      <c r="P107" s="1">
        <v>6.21</v>
      </c>
      <c r="T107" s="1">
        <v>-1.2829999999999999</v>
      </c>
      <c r="U107" s="1">
        <v>6.5869999999999997</v>
      </c>
    </row>
    <row r="108" spans="1:21" x14ac:dyDescent="0.35">
      <c r="A108" s="1">
        <v>-1.883</v>
      </c>
      <c r="B108" s="1">
        <v>11.791</v>
      </c>
      <c r="F108" s="1">
        <v>-1.36</v>
      </c>
      <c r="G108" s="1">
        <v>6.6079999999999997</v>
      </c>
      <c r="J108" s="1">
        <v>-2.7269999999999999</v>
      </c>
      <c r="K108" s="1">
        <v>7.2779999999999996</v>
      </c>
      <c r="O108" s="1">
        <v>-2.7210000000000001</v>
      </c>
      <c r="P108" s="1">
        <v>6.5549999999999997</v>
      </c>
      <c r="T108" s="1">
        <v>-1.117</v>
      </c>
      <c r="U108" s="1">
        <v>6.6710000000000003</v>
      </c>
    </row>
    <row r="109" spans="1:21" x14ac:dyDescent="0.35">
      <c r="A109" s="1">
        <v>-1.583</v>
      </c>
      <c r="B109" s="1">
        <v>12.074</v>
      </c>
      <c r="F109" s="1">
        <v>-1.1919999999999999</v>
      </c>
      <c r="G109" s="1">
        <v>6.7130000000000001</v>
      </c>
      <c r="J109" s="1">
        <v>-2.54</v>
      </c>
      <c r="K109" s="1">
        <v>7.5819999999999999</v>
      </c>
      <c r="O109" s="1">
        <v>-2.5529999999999999</v>
      </c>
      <c r="P109" s="1">
        <v>6.87</v>
      </c>
      <c r="T109" s="1">
        <v>-0.94899999999999995</v>
      </c>
      <c r="U109" s="1">
        <v>6.7229999999999999</v>
      </c>
    </row>
    <row r="110" spans="1:21" x14ac:dyDescent="0.35">
      <c r="A110" s="1">
        <v>-1.2789999999999999</v>
      </c>
      <c r="B110" s="1">
        <v>12.305</v>
      </c>
      <c r="F110" s="1">
        <v>-1.024</v>
      </c>
      <c r="G110" s="1">
        <v>6.7960000000000003</v>
      </c>
      <c r="J110" s="1">
        <v>-2.347</v>
      </c>
      <c r="K110" s="1">
        <v>7.8440000000000003</v>
      </c>
      <c r="O110" s="1">
        <v>-2.3769999999999998</v>
      </c>
      <c r="P110" s="1">
        <v>7.1420000000000003</v>
      </c>
      <c r="T110" s="1">
        <v>-0.78100000000000003</v>
      </c>
      <c r="U110" s="1">
        <v>6.7539999999999996</v>
      </c>
    </row>
    <row r="111" spans="1:21" x14ac:dyDescent="0.35">
      <c r="A111" s="1">
        <v>-0.96799999999999997</v>
      </c>
      <c r="B111" s="1">
        <v>12.472</v>
      </c>
      <c r="F111" s="1">
        <v>-0.85299999999999998</v>
      </c>
      <c r="G111" s="1">
        <v>6.859</v>
      </c>
      <c r="J111" s="1">
        <v>-2.1469999999999998</v>
      </c>
      <c r="K111" s="1">
        <v>8.0739999999999998</v>
      </c>
      <c r="O111" s="1">
        <v>-2.194</v>
      </c>
      <c r="P111" s="1">
        <v>7.3929999999999998</v>
      </c>
      <c r="T111" s="1">
        <v>-0.61099999999999999</v>
      </c>
      <c r="U111" s="1">
        <v>6.7539999999999996</v>
      </c>
    </row>
    <row r="112" spans="1:21" x14ac:dyDescent="0.35">
      <c r="A112" s="1">
        <v>-0.65300000000000002</v>
      </c>
      <c r="B112" s="1">
        <v>12.587</v>
      </c>
      <c r="F112" s="1">
        <v>-0.68</v>
      </c>
      <c r="G112" s="1">
        <v>6.891</v>
      </c>
      <c r="J112" s="1">
        <v>-1.9430000000000001</v>
      </c>
      <c r="K112" s="1">
        <v>8.2729999999999997</v>
      </c>
      <c r="O112" s="1">
        <v>-2.0070000000000001</v>
      </c>
      <c r="P112" s="1">
        <v>7.6130000000000004</v>
      </c>
      <c r="T112" s="1">
        <v>-0.441</v>
      </c>
      <c r="U112" s="1">
        <v>6.7130000000000001</v>
      </c>
    </row>
    <row r="113" spans="1:21" x14ac:dyDescent="0.35">
      <c r="A113" s="1">
        <v>-0.33800000000000002</v>
      </c>
      <c r="B113" s="1">
        <v>12.65</v>
      </c>
      <c r="F113" s="1">
        <v>-0.50700000000000001</v>
      </c>
      <c r="G113" s="1">
        <v>6.88</v>
      </c>
      <c r="J113" s="1">
        <v>-1.7330000000000001</v>
      </c>
      <c r="K113" s="1">
        <v>8.43</v>
      </c>
      <c r="O113" s="1">
        <v>-1.8129999999999999</v>
      </c>
      <c r="P113" s="1">
        <v>7.8019999999999996</v>
      </c>
      <c r="T113" s="1">
        <v>-0.27500000000000002</v>
      </c>
      <c r="U113" s="1">
        <v>6.6390000000000002</v>
      </c>
    </row>
    <row r="114" spans="1:21" x14ac:dyDescent="0.35">
      <c r="A114" s="1">
        <v>-0.02</v>
      </c>
      <c r="B114" s="1">
        <v>12.670999999999999</v>
      </c>
      <c r="F114" s="1">
        <v>-0.33600000000000002</v>
      </c>
      <c r="G114" s="1">
        <v>6.8380000000000001</v>
      </c>
      <c r="J114" s="1">
        <v>-1.5209999999999999</v>
      </c>
      <c r="K114" s="1">
        <v>8.5449999999999999</v>
      </c>
      <c r="O114" s="1">
        <v>-1.6160000000000001</v>
      </c>
      <c r="P114" s="1">
        <v>7.9480000000000004</v>
      </c>
      <c r="T114" s="1">
        <v>-0.11</v>
      </c>
      <c r="U114" s="1">
        <v>6.5449999999999999</v>
      </c>
    </row>
    <row r="115" spans="1:21" x14ac:dyDescent="0.35">
      <c r="A115" s="1">
        <v>0.29699999999999999</v>
      </c>
      <c r="B115" s="1">
        <v>12.64</v>
      </c>
      <c r="F115" s="1">
        <v>-0.16500000000000001</v>
      </c>
      <c r="G115" s="1">
        <v>6.7750000000000004</v>
      </c>
      <c r="J115" s="1">
        <v>-1.3049999999999999</v>
      </c>
      <c r="K115" s="1">
        <v>8.6180000000000003</v>
      </c>
      <c r="O115" s="1">
        <v>-1.415</v>
      </c>
      <c r="P115" s="1">
        <v>8.0530000000000008</v>
      </c>
      <c r="T115" s="1">
        <v>5.2999999999999999E-2</v>
      </c>
      <c r="U115" s="1">
        <v>6.4189999999999996</v>
      </c>
    </row>
    <row r="116" spans="1:21" x14ac:dyDescent="0.35">
      <c r="A116" s="1">
        <v>0.61299999999999999</v>
      </c>
      <c r="B116" s="1">
        <v>12.555999999999999</v>
      </c>
      <c r="F116" s="1">
        <v>3.0000000000000001E-3</v>
      </c>
      <c r="G116" s="1">
        <v>6.6920000000000002</v>
      </c>
      <c r="J116" s="1">
        <v>-1.089</v>
      </c>
      <c r="K116" s="1">
        <v>8.66</v>
      </c>
      <c r="O116" s="1">
        <v>-1.2130000000000001</v>
      </c>
      <c r="P116" s="1">
        <v>8.1259999999999994</v>
      </c>
      <c r="T116" s="1">
        <v>0.21199999999999999</v>
      </c>
      <c r="U116" s="1">
        <v>6.2619999999999996</v>
      </c>
    </row>
    <row r="117" spans="1:21" x14ac:dyDescent="0.35">
      <c r="A117" s="1">
        <v>0.92500000000000004</v>
      </c>
      <c r="B117" s="1">
        <v>12.42</v>
      </c>
      <c r="F117" s="1">
        <v>0.17</v>
      </c>
      <c r="G117" s="1">
        <v>6.5759999999999996</v>
      </c>
      <c r="J117" s="1">
        <v>-0.872</v>
      </c>
      <c r="K117" s="1">
        <v>8.6709999999999994</v>
      </c>
      <c r="O117" s="1">
        <v>-1.008</v>
      </c>
      <c r="P117" s="1">
        <v>8.1579999999999995</v>
      </c>
      <c r="T117" s="1">
        <v>0.36599999999999999</v>
      </c>
      <c r="U117" s="1">
        <v>6.0949999999999998</v>
      </c>
    </row>
    <row r="118" spans="1:21" x14ac:dyDescent="0.35">
      <c r="A118" s="1">
        <v>1.2350000000000001</v>
      </c>
      <c r="B118" s="1">
        <v>12.221</v>
      </c>
      <c r="F118" s="1">
        <v>0.33300000000000002</v>
      </c>
      <c r="G118" s="1">
        <v>6.44</v>
      </c>
      <c r="J118" s="1">
        <v>-0.65500000000000003</v>
      </c>
      <c r="K118" s="1">
        <v>8.66</v>
      </c>
      <c r="O118" s="1">
        <v>-0.80400000000000005</v>
      </c>
      <c r="P118" s="1">
        <v>8.1679999999999993</v>
      </c>
      <c r="T118" s="1">
        <v>0.51700000000000002</v>
      </c>
      <c r="U118" s="1">
        <v>5.9169999999999998</v>
      </c>
    </row>
    <row r="119" spans="1:21" x14ac:dyDescent="0.35">
      <c r="A119" s="1">
        <v>1.538</v>
      </c>
      <c r="B119" s="1">
        <v>11.968999999999999</v>
      </c>
      <c r="F119" s="1">
        <v>0.49199999999999999</v>
      </c>
      <c r="G119" s="1">
        <v>6.2830000000000004</v>
      </c>
      <c r="J119" s="1">
        <v>-0.438</v>
      </c>
      <c r="K119" s="1">
        <v>8.6180000000000003</v>
      </c>
      <c r="O119" s="1">
        <v>-0.6</v>
      </c>
      <c r="P119" s="1">
        <v>8.1579999999999995</v>
      </c>
      <c r="T119" s="1">
        <v>0.66300000000000003</v>
      </c>
      <c r="U119" s="1">
        <v>5.7069999999999999</v>
      </c>
    </row>
    <row r="120" spans="1:21" x14ac:dyDescent="0.35">
      <c r="A120" s="1">
        <v>1.833</v>
      </c>
      <c r="B120" s="1">
        <v>11.666</v>
      </c>
      <c r="F120" s="1">
        <v>0.64700000000000002</v>
      </c>
      <c r="G120" s="1">
        <v>6.1050000000000004</v>
      </c>
      <c r="J120" s="1">
        <v>-0.223</v>
      </c>
      <c r="K120" s="1">
        <v>8.5350000000000001</v>
      </c>
      <c r="O120" s="1">
        <v>-0.39600000000000002</v>
      </c>
      <c r="P120" s="1">
        <v>8.1159999999999997</v>
      </c>
      <c r="T120" s="1">
        <v>0.80300000000000005</v>
      </c>
      <c r="U120" s="1">
        <v>5.4660000000000002</v>
      </c>
    </row>
    <row r="121" spans="1:21" x14ac:dyDescent="0.35">
      <c r="A121" s="1">
        <v>2.1219999999999999</v>
      </c>
      <c r="B121" s="1">
        <v>11.298999999999999</v>
      </c>
      <c r="F121" s="1">
        <v>0.79800000000000004</v>
      </c>
      <c r="G121" s="1">
        <v>5.8959999999999999</v>
      </c>
      <c r="J121" s="1">
        <v>-1.0999999999999999E-2</v>
      </c>
      <c r="K121" s="1">
        <v>8.4090000000000007</v>
      </c>
      <c r="O121" s="1">
        <v>-0.193</v>
      </c>
      <c r="P121" s="1">
        <v>8.032</v>
      </c>
      <c r="T121" s="1">
        <v>0.93600000000000005</v>
      </c>
      <c r="U121" s="1">
        <v>5.2050000000000001</v>
      </c>
    </row>
    <row r="122" spans="1:21" x14ac:dyDescent="0.35">
      <c r="A122" s="1">
        <v>2.4</v>
      </c>
      <c r="B122" s="1">
        <v>10.88</v>
      </c>
      <c r="F122" s="1">
        <v>0.94199999999999995</v>
      </c>
      <c r="G122" s="1">
        <v>5.6550000000000002</v>
      </c>
      <c r="J122" s="1">
        <v>0.19800000000000001</v>
      </c>
      <c r="K122" s="1">
        <v>8.2520000000000007</v>
      </c>
      <c r="O122" s="1">
        <v>6.0000000000000001E-3</v>
      </c>
      <c r="P122" s="1">
        <v>7.9059999999999997</v>
      </c>
      <c r="T122" s="1">
        <v>1.0629999999999999</v>
      </c>
      <c r="U122" s="1">
        <v>4.9320000000000004</v>
      </c>
    </row>
    <row r="123" spans="1:21" x14ac:dyDescent="0.35">
      <c r="A123" s="1">
        <v>2.6659999999999999</v>
      </c>
      <c r="B123" s="1">
        <v>10.42</v>
      </c>
      <c r="F123" s="1">
        <v>1.081</v>
      </c>
      <c r="G123" s="1">
        <v>5.3929999999999998</v>
      </c>
      <c r="J123" s="1">
        <v>0.40200000000000002</v>
      </c>
      <c r="K123" s="1">
        <v>8.0630000000000006</v>
      </c>
      <c r="O123" s="1">
        <v>0.20300000000000001</v>
      </c>
      <c r="P123" s="1">
        <v>7.7489999999999997</v>
      </c>
      <c r="T123" s="1">
        <v>1.1830000000000001</v>
      </c>
      <c r="U123" s="1">
        <v>4.66</v>
      </c>
    </row>
    <row r="124" spans="1:21" x14ac:dyDescent="0.35">
      <c r="A124" s="1">
        <v>2.9220000000000002</v>
      </c>
      <c r="B124" s="1">
        <v>9.9269999999999996</v>
      </c>
      <c r="F124" s="1">
        <v>1.2130000000000001</v>
      </c>
      <c r="G124" s="1">
        <v>5.1210000000000004</v>
      </c>
      <c r="J124" s="1">
        <v>0.60199999999999998</v>
      </c>
      <c r="K124" s="1">
        <v>7.8330000000000002</v>
      </c>
      <c r="O124" s="1">
        <v>0.39400000000000002</v>
      </c>
      <c r="P124" s="1">
        <v>7.5709999999999997</v>
      </c>
      <c r="T124" s="1">
        <v>1.296</v>
      </c>
      <c r="U124" s="1">
        <v>4.367</v>
      </c>
    </row>
    <row r="125" spans="1:21" x14ac:dyDescent="0.35">
      <c r="A125" s="1">
        <v>3.1640000000000001</v>
      </c>
      <c r="B125" s="1">
        <v>9.3829999999999991</v>
      </c>
      <c r="F125" s="1">
        <v>1.337</v>
      </c>
      <c r="G125" s="1">
        <v>4.8280000000000003</v>
      </c>
      <c r="J125" s="1">
        <v>0.79500000000000004</v>
      </c>
      <c r="K125" s="1">
        <v>7.5709999999999997</v>
      </c>
      <c r="O125" s="1">
        <v>0.58099999999999996</v>
      </c>
      <c r="P125" s="1">
        <v>7.3719999999999999</v>
      </c>
      <c r="T125" s="1">
        <v>1.403</v>
      </c>
      <c r="U125" s="1">
        <v>4.0529999999999999</v>
      </c>
    </row>
    <row r="126" spans="1:21" x14ac:dyDescent="0.35">
      <c r="A126" s="1">
        <v>3.391</v>
      </c>
      <c r="B126" s="1">
        <v>8.7859999999999996</v>
      </c>
      <c r="F126" s="1">
        <v>1.4550000000000001</v>
      </c>
      <c r="G126" s="1">
        <v>4.524</v>
      </c>
      <c r="J126" s="1">
        <v>0.98</v>
      </c>
      <c r="K126" s="1">
        <v>7.2889999999999997</v>
      </c>
      <c r="O126" s="1">
        <v>0.76300000000000001</v>
      </c>
      <c r="P126" s="1">
        <v>7.1420000000000003</v>
      </c>
      <c r="T126" s="1">
        <v>1.4990000000000001</v>
      </c>
      <c r="U126" s="1">
        <v>3.7280000000000002</v>
      </c>
    </row>
    <row r="127" spans="1:21" x14ac:dyDescent="0.35">
      <c r="A127" s="1">
        <v>3.6030000000000002</v>
      </c>
      <c r="B127" s="1">
        <v>8.1679999999999993</v>
      </c>
      <c r="F127" s="1">
        <v>1.5629999999999999</v>
      </c>
      <c r="G127" s="1">
        <v>4.21</v>
      </c>
      <c r="J127" s="1">
        <v>1.159</v>
      </c>
      <c r="K127" s="1">
        <v>6.9950000000000001</v>
      </c>
      <c r="O127" s="1">
        <v>0.93899999999999995</v>
      </c>
      <c r="P127" s="1">
        <v>6.87</v>
      </c>
      <c r="T127" s="1">
        <v>1.5880000000000001</v>
      </c>
      <c r="U127" s="1">
        <v>3.3929999999999998</v>
      </c>
    </row>
    <row r="128" spans="1:21" x14ac:dyDescent="0.35">
      <c r="A128" s="1">
        <v>3.8</v>
      </c>
      <c r="B128" s="1">
        <v>7.5190000000000001</v>
      </c>
      <c r="F128" s="1">
        <v>1.665</v>
      </c>
      <c r="G128" s="1">
        <v>3.875</v>
      </c>
      <c r="J128" s="1">
        <v>1.33</v>
      </c>
      <c r="K128" s="1">
        <v>6.6710000000000003</v>
      </c>
      <c r="O128" s="1">
        <v>1.107</v>
      </c>
      <c r="P128" s="1">
        <v>6.5659999999999998</v>
      </c>
      <c r="T128" s="1">
        <v>1.67</v>
      </c>
      <c r="U128" s="1">
        <v>3.0579999999999998</v>
      </c>
    </row>
    <row r="129" spans="1:21" x14ac:dyDescent="0.35">
      <c r="A129" s="1">
        <v>3.98</v>
      </c>
      <c r="B129" s="1">
        <v>6.8380000000000001</v>
      </c>
      <c r="F129" s="1">
        <v>1.758</v>
      </c>
      <c r="G129" s="1">
        <v>3.5289999999999999</v>
      </c>
      <c r="J129" s="1">
        <v>1.494</v>
      </c>
      <c r="K129" s="1">
        <v>6.3150000000000004</v>
      </c>
      <c r="O129" s="1">
        <v>1.268</v>
      </c>
      <c r="P129" s="1">
        <v>6.2519999999999998</v>
      </c>
      <c r="T129" s="1">
        <v>1.74</v>
      </c>
      <c r="U129" s="1">
        <v>2.7120000000000002</v>
      </c>
    </row>
    <row r="130" spans="1:21" x14ac:dyDescent="0.35">
      <c r="A130" s="1">
        <v>4.1420000000000003</v>
      </c>
      <c r="B130" s="1">
        <v>6.1260000000000003</v>
      </c>
      <c r="F130" s="1">
        <v>1.841</v>
      </c>
      <c r="G130" s="1">
        <v>3.173</v>
      </c>
      <c r="J130" s="1">
        <v>1.6459999999999999</v>
      </c>
      <c r="K130" s="1">
        <v>5.9379999999999997</v>
      </c>
      <c r="O130" s="1">
        <v>1.42</v>
      </c>
      <c r="P130" s="1">
        <v>5.9269999999999996</v>
      </c>
      <c r="T130" s="1">
        <v>1.8049999999999999</v>
      </c>
      <c r="U130" s="1">
        <v>2.367</v>
      </c>
    </row>
    <row r="131" spans="1:21" x14ac:dyDescent="0.35">
      <c r="A131" s="1">
        <v>4.2869999999999999</v>
      </c>
      <c r="B131" s="1">
        <v>5.3929999999999998</v>
      </c>
      <c r="F131" s="1">
        <v>1.9159999999999999</v>
      </c>
      <c r="G131" s="1">
        <v>2.8170000000000002</v>
      </c>
      <c r="J131" s="1">
        <v>1.7909999999999999</v>
      </c>
      <c r="K131" s="1">
        <v>5.54</v>
      </c>
      <c r="O131" s="1">
        <v>1.5649999999999999</v>
      </c>
      <c r="P131" s="1">
        <v>5.5819999999999999</v>
      </c>
      <c r="T131" s="1">
        <v>1.86</v>
      </c>
      <c r="U131" s="1">
        <v>2.0110000000000001</v>
      </c>
    </row>
    <row r="132" spans="1:21" x14ac:dyDescent="0.35">
      <c r="A132" s="1">
        <v>4.4119999999999999</v>
      </c>
      <c r="B132" s="1">
        <v>4.6390000000000002</v>
      </c>
      <c r="F132" s="1">
        <v>1.982</v>
      </c>
      <c r="G132" s="1">
        <v>2.4500000000000002</v>
      </c>
      <c r="J132" s="1">
        <v>1.9239999999999999</v>
      </c>
      <c r="K132" s="1">
        <v>5.1310000000000002</v>
      </c>
      <c r="O132" s="1">
        <v>1.7</v>
      </c>
      <c r="P132" s="1">
        <v>5.2050000000000001</v>
      </c>
      <c r="T132" s="1">
        <v>1.905</v>
      </c>
      <c r="U132" s="1">
        <v>1.6439999999999999</v>
      </c>
    </row>
    <row r="133" spans="1:21" x14ac:dyDescent="0.35">
      <c r="A133" s="1">
        <v>4.5190000000000001</v>
      </c>
      <c r="B133" s="1">
        <v>3.8639999999999999</v>
      </c>
      <c r="F133" s="1">
        <v>2.0390000000000001</v>
      </c>
      <c r="G133" s="1">
        <v>2.073</v>
      </c>
      <c r="J133" s="1">
        <v>2.0470000000000002</v>
      </c>
      <c r="K133" s="1">
        <v>4.702</v>
      </c>
      <c r="O133" s="1">
        <v>1.825</v>
      </c>
      <c r="P133" s="1">
        <v>4.8070000000000004</v>
      </c>
      <c r="T133" s="1">
        <v>1.9419999999999999</v>
      </c>
      <c r="U133" s="1">
        <v>1.278</v>
      </c>
    </row>
    <row r="134" spans="1:21" x14ac:dyDescent="0.35">
      <c r="A134" s="1">
        <v>4.6059999999999999</v>
      </c>
      <c r="B134" s="1">
        <v>3.0680000000000001</v>
      </c>
      <c r="F134" s="1">
        <v>2.0859999999999999</v>
      </c>
      <c r="G134" s="1">
        <v>1.7070000000000001</v>
      </c>
      <c r="J134" s="1">
        <v>2.16</v>
      </c>
      <c r="K134" s="1">
        <v>4.2619999999999996</v>
      </c>
      <c r="O134" s="1">
        <v>1.94</v>
      </c>
      <c r="P134" s="1">
        <v>4.3979999999999997</v>
      </c>
      <c r="T134" s="1">
        <v>1.97</v>
      </c>
      <c r="U134" s="1">
        <v>0.92200000000000004</v>
      </c>
    </row>
    <row r="135" spans="1:21" x14ac:dyDescent="0.35">
      <c r="A135" s="1">
        <v>4.673</v>
      </c>
      <c r="B135" s="1">
        <v>2.2509999999999999</v>
      </c>
      <c r="F135" s="1">
        <v>2.1240000000000001</v>
      </c>
      <c r="G135" s="1">
        <v>1.34</v>
      </c>
      <c r="J135" s="1">
        <v>2.2599999999999998</v>
      </c>
      <c r="K135" s="1">
        <v>3.8119999999999998</v>
      </c>
      <c r="O135" s="1">
        <v>2.0449999999999999</v>
      </c>
      <c r="P135" s="1">
        <v>3.99</v>
      </c>
      <c r="T135" s="1">
        <v>1.9870000000000001</v>
      </c>
      <c r="U135" s="1">
        <v>0.57599999999999996</v>
      </c>
    </row>
    <row r="136" spans="1:21" x14ac:dyDescent="0.35">
      <c r="A136" s="1">
        <v>4.7190000000000003</v>
      </c>
      <c r="B136" s="1">
        <v>1.4350000000000001</v>
      </c>
      <c r="F136" s="1">
        <v>2.1539999999999999</v>
      </c>
      <c r="G136" s="1">
        <v>0.96299999999999997</v>
      </c>
      <c r="J136" s="1">
        <v>2.35</v>
      </c>
      <c r="K136" s="1">
        <v>3.351</v>
      </c>
      <c r="O136" s="1">
        <v>2.1389999999999998</v>
      </c>
      <c r="P136" s="1">
        <v>3.5710000000000002</v>
      </c>
      <c r="T136" s="1">
        <v>1.998</v>
      </c>
      <c r="U136" s="1">
        <v>0.23</v>
      </c>
    </row>
    <row r="137" spans="1:21" x14ac:dyDescent="0.35">
      <c r="A137" s="1">
        <v>4.7439999999999998</v>
      </c>
      <c r="B137" s="1">
        <v>0.628</v>
      </c>
      <c r="F137" s="1">
        <v>2.1720000000000002</v>
      </c>
      <c r="G137" s="1">
        <v>0.58599999999999997</v>
      </c>
      <c r="J137" s="1">
        <v>2.4279999999999999</v>
      </c>
      <c r="K137" s="1">
        <v>2.89</v>
      </c>
      <c r="O137" s="1">
        <v>2.2240000000000002</v>
      </c>
      <c r="P137" s="1">
        <v>3.1419999999999999</v>
      </c>
      <c r="T137" s="1">
        <v>2</v>
      </c>
      <c r="U137" s="1">
        <v>-0.115</v>
      </c>
    </row>
    <row r="138" spans="1:21" x14ac:dyDescent="0.35">
      <c r="A138" s="1">
        <v>4.75</v>
      </c>
      <c r="B138" s="1">
        <v>-0.17799999999999999</v>
      </c>
      <c r="F138" s="1">
        <v>2.1819999999999999</v>
      </c>
      <c r="G138" s="1">
        <v>0.22</v>
      </c>
      <c r="J138" s="1">
        <v>2.4940000000000002</v>
      </c>
      <c r="K138" s="1">
        <v>2.419</v>
      </c>
      <c r="O138" s="1">
        <v>2.2970000000000002</v>
      </c>
      <c r="P138" s="1">
        <v>2.702</v>
      </c>
      <c r="T138" s="1">
        <v>1.992</v>
      </c>
      <c r="U138" s="1">
        <v>-0.46100000000000002</v>
      </c>
    </row>
    <row r="139" spans="1:21" x14ac:dyDescent="0.35">
      <c r="A139" s="1">
        <v>4.7359999999999998</v>
      </c>
      <c r="B139" s="1">
        <v>-1.0049999999999999</v>
      </c>
      <c r="F139" s="1">
        <v>2.1829999999999998</v>
      </c>
      <c r="G139" s="1">
        <v>-0.13600000000000001</v>
      </c>
      <c r="J139" s="1">
        <v>2.5489999999999999</v>
      </c>
      <c r="K139" s="1">
        <v>1.9370000000000001</v>
      </c>
      <c r="O139" s="1">
        <v>2.359</v>
      </c>
      <c r="P139" s="1">
        <v>2.2509999999999999</v>
      </c>
      <c r="T139" s="1">
        <v>1.976</v>
      </c>
      <c r="U139" s="1">
        <v>-0.79600000000000004</v>
      </c>
    </row>
    <row r="140" spans="1:21" x14ac:dyDescent="0.35">
      <c r="A140" s="1">
        <v>4.7</v>
      </c>
      <c r="B140" s="1">
        <v>-1.8220000000000001</v>
      </c>
      <c r="F140" s="1">
        <v>2.1760000000000002</v>
      </c>
      <c r="G140" s="1">
        <v>-0.49199999999999999</v>
      </c>
      <c r="J140" s="1">
        <v>2.5920000000000001</v>
      </c>
      <c r="K140" s="1">
        <v>1.4450000000000001</v>
      </c>
      <c r="O140" s="1">
        <v>2.41</v>
      </c>
      <c r="P140" s="1">
        <v>1.8009999999999999</v>
      </c>
      <c r="T140" s="1">
        <v>1.9530000000000001</v>
      </c>
      <c r="U140" s="1">
        <v>-1.121</v>
      </c>
    </row>
    <row r="141" spans="1:21" x14ac:dyDescent="0.35">
      <c r="A141" s="1">
        <v>4.6429999999999998</v>
      </c>
      <c r="B141" s="1">
        <v>-2.6179999999999999</v>
      </c>
      <c r="F141" s="1">
        <v>2.1579999999999999</v>
      </c>
      <c r="G141" s="1">
        <v>-0.84799999999999998</v>
      </c>
      <c r="J141" s="1">
        <v>2.6219999999999999</v>
      </c>
      <c r="K141" s="1">
        <v>0.95299999999999996</v>
      </c>
      <c r="O141" s="1">
        <v>2.4489999999999998</v>
      </c>
      <c r="P141" s="1">
        <v>1.351</v>
      </c>
      <c r="T141" s="1">
        <v>1.92</v>
      </c>
      <c r="U141" s="1">
        <v>-1.4350000000000001</v>
      </c>
    </row>
    <row r="142" spans="1:21" x14ac:dyDescent="0.35">
      <c r="A142" s="1">
        <v>4.569</v>
      </c>
      <c r="B142" s="1">
        <v>-3.3929999999999998</v>
      </c>
      <c r="F142" s="1">
        <v>2.133</v>
      </c>
      <c r="G142" s="1">
        <v>-1.1830000000000001</v>
      </c>
      <c r="J142" s="1">
        <v>2.6389999999999998</v>
      </c>
      <c r="K142" s="1">
        <v>0.49199999999999999</v>
      </c>
      <c r="O142" s="1">
        <v>2.4769999999999999</v>
      </c>
      <c r="P142" s="1">
        <v>0.91100000000000003</v>
      </c>
      <c r="T142" s="1">
        <v>1.88</v>
      </c>
      <c r="U142" s="1">
        <v>-1.728</v>
      </c>
    </row>
    <row r="143" spans="1:21" x14ac:dyDescent="0.35">
      <c r="A143" s="1">
        <v>4.4740000000000002</v>
      </c>
      <c r="B143" s="1">
        <v>-4.157</v>
      </c>
      <c r="F143" s="1">
        <v>2.0990000000000002</v>
      </c>
      <c r="G143" s="1">
        <v>-1.4870000000000001</v>
      </c>
      <c r="J143" s="1">
        <v>2.645</v>
      </c>
      <c r="K143" s="1">
        <v>4.2000000000000003E-2</v>
      </c>
      <c r="O143" s="1">
        <v>2.4940000000000002</v>
      </c>
      <c r="P143" s="1">
        <v>0.48199999999999998</v>
      </c>
      <c r="T143" s="1">
        <v>1.833</v>
      </c>
      <c r="U143" s="1">
        <v>-2</v>
      </c>
    </row>
    <row r="144" spans="1:21" x14ac:dyDescent="0.35">
      <c r="A144" s="1">
        <v>4.3609999999999998</v>
      </c>
      <c r="B144" s="1">
        <v>-4.9109999999999996</v>
      </c>
      <c r="F144" s="1">
        <v>2.0579999999999998</v>
      </c>
      <c r="G144" s="1">
        <v>-1.78</v>
      </c>
      <c r="J144" s="1">
        <v>2.6419999999999999</v>
      </c>
      <c r="K144" s="1">
        <v>-0.40799999999999997</v>
      </c>
      <c r="O144" s="1">
        <v>2.5009999999999999</v>
      </c>
      <c r="P144" s="1">
        <v>5.1999999999999998E-2</v>
      </c>
      <c r="T144" s="1">
        <v>1.78</v>
      </c>
      <c r="U144" s="1">
        <v>-2.262</v>
      </c>
    </row>
    <row r="145" spans="1:21" x14ac:dyDescent="0.35">
      <c r="A145" s="1">
        <v>4.2290000000000001</v>
      </c>
      <c r="B145" s="1">
        <v>-5.6340000000000003</v>
      </c>
      <c r="F145" s="1">
        <v>2.0110000000000001</v>
      </c>
      <c r="G145" s="1">
        <v>-2.073</v>
      </c>
      <c r="J145" s="1">
        <v>2.625</v>
      </c>
      <c r="K145" s="1">
        <v>-0.85899999999999999</v>
      </c>
      <c r="O145" s="1">
        <v>2.4980000000000002</v>
      </c>
      <c r="P145" s="1">
        <v>-0.377</v>
      </c>
      <c r="T145" s="1">
        <v>1.72</v>
      </c>
      <c r="U145" s="1">
        <v>-2.5129999999999999</v>
      </c>
    </row>
    <row r="146" spans="1:21" x14ac:dyDescent="0.35">
      <c r="A146" s="1">
        <v>4.0780000000000003</v>
      </c>
      <c r="B146" s="1">
        <v>-6.3360000000000003</v>
      </c>
      <c r="F146" s="1">
        <v>1.954</v>
      </c>
      <c r="G146" s="1">
        <v>-2.367</v>
      </c>
      <c r="J146" s="1">
        <v>2.5979999999999999</v>
      </c>
      <c r="K146" s="1">
        <v>-1.288</v>
      </c>
      <c r="O146" s="1">
        <v>2.4820000000000002</v>
      </c>
      <c r="P146" s="1">
        <v>-0.79600000000000004</v>
      </c>
      <c r="T146" s="1">
        <v>1.6539999999999999</v>
      </c>
      <c r="U146" s="1">
        <v>-2.7650000000000001</v>
      </c>
    </row>
    <row r="147" spans="1:21" x14ac:dyDescent="0.35">
      <c r="A147" s="1">
        <v>3.911</v>
      </c>
      <c r="B147" s="1">
        <v>-7.0060000000000002</v>
      </c>
      <c r="F147" s="1">
        <v>1.891</v>
      </c>
      <c r="G147" s="1">
        <v>-2.6280000000000001</v>
      </c>
      <c r="J147" s="1">
        <v>2.56</v>
      </c>
      <c r="K147" s="1">
        <v>-1.696</v>
      </c>
      <c r="O147" s="1">
        <v>2.4569999999999999</v>
      </c>
      <c r="P147" s="1">
        <v>-1.204</v>
      </c>
      <c r="T147" s="1">
        <v>1.5820000000000001</v>
      </c>
      <c r="U147" s="1">
        <v>-3.0049999999999999</v>
      </c>
    </row>
    <row r="148" spans="1:21" x14ac:dyDescent="0.35">
      <c r="A148" s="1">
        <v>3.7280000000000002</v>
      </c>
      <c r="B148" s="1">
        <v>-7.6550000000000002</v>
      </c>
      <c r="F148" s="1">
        <v>1.8220000000000001</v>
      </c>
      <c r="G148" s="1">
        <v>-2.8690000000000002</v>
      </c>
      <c r="J148" s="1">
        <v>2.5129999999999999</v>
      </c>
      <c r="K148" s="1">
        <v>-2.0939999999999999</v>
      </c>
      <c r="O148" s="1">
        <v>2.4220000000000002</v>
      </c>
      <c r="P148" s="1">
        <v>-1.5920000000000001</v>
      </c>
      <c r="T148" s="1">
        <v>1.5029999999999999</v>
      </c>
      <c r="U148" s="1">
        <v>-3.2149999999999999</v>
      </c>
    </row>
    <row r="149" spans="1:21" x14ac:dyDescent="0.35">
      <c r="A149" s="1">
        <v>3.528</v>
      </c>
      <c r="B149" s="1">
        <v>-8.2829999999999995</v>
      </c>
      <c r="F149" s="1">
        <v>1.748</v>
      </c>
      <c r="G149" s="1">
        <v>-3.1</v>
      </c>
      <c r="J149" s="1">
        <v>2.4550000000000001</v>
      </c>
      <c r="K149" s="1">
        <v>-2.4710000000000001</v>
      </c>
      <c r="O149" s="1">
        <v>2.3769999999999998</v>
      </c>
      <c r="P149" s="1">
        <v>-1.9690000000000001</v>
      </c>
      <c r="T149" s="1">
        <v>1.42</v>
      </c>
      <c r="U149" s="1">
        <v>-3.3929999999999998</v>
      </c>
    </row>
    <row r="150" spans="1:21" x14ac:dyDescent="0.35">
      <c r="A150" s="1">
        <v>3.3130000000000002</v>
      </c>
      <c r="B150" s="1">
        <v>-8.8699999999999992</v>
      </c>
      <c r="F150" s="1">
        <v>1.667</v>
      </c>
      <c r="G150" s="1">
        <v>-3.32</v>
      </c>
      <c r="J150" s="1">
        <v>2.3889999999999998</v>
      </c>
      <c r="K150" s="1">
        <v>-2.8380000000000001</v>
      </c>
      <c r="O150" s="1">
        <v>2.323</v>
      </c>
      <c r="P150" s="1">
        <v>-2.3250000000000002</v>
      </c>
      <c r="T150" s="1">
        <v>1.3340000000000001</v>
      </c>
      <c r="U150" s="1">
        <v>-3.56</v>
      </c>
    </row>
    <row r="151" spans="1:21" x14ac:dyDescent="0.35">
      <c r="A151" s="1">
        <v>3.0830000000000002</v>
      </c>
      <c r="B151" s="1">
        <v>-9.4039999999999999</v>
      </c>
      <c r="F151" s="1">
        <v>1.5820000000000001</v>
      </c>
      <c r="G151" s="1">
        <v>-3.5190000000000001</v>
      </c>
      <c r="J151" s="1">
        <v>2.3140000000000001</v>
      </c>
      <c r="K151" s="1">
        <v>-3.1829999999999998</v>
      </c>
      <c r="O151" s="1">
        <v>2.2599999999999998</v>
      </c>
      <c r="P151" s="1">
        <v>-2.66</v>
      </c>
      <c r="T151" s="1">
        <v>1.2430000000000001</v>
      </c>
      <c r="U151" s="1">
        <v>-3.718</v>
      </c>
    </row>
    <row r="152" spans="1:21" x14ac:dyDescent="0.35">
      <c r="A152" s="1">
        <v>2.8420000000000001</v>
      </c>
      <c r="B152" s="1">
        <v>-9.8960000000000008</v>
      </c>
      <c r="F152" s="1">
        <v>1.4910000000000001</v>
      </c>
      <c r="G152" s="1">
        <v>-3.6970000000000001</v>
      </c>
      <c r="J152" s="1">
        <v>2.2290000000000001</v>
      </c>
      <c r="K152" s="1">
        <v>-3.508</v>
      </c>
      <c r="O152" s="1">
        <v>2.19</v>
      </c>
      <c r="P152" s="1">
        <v>-2.9849999999999999</v>
      </c>
      <c r="T152" s="1">
        <v>1.147</v>
      </c>
      <c r="U152" s="1">
        <v>-3.8540000000000001</v>
      </c>
    </row>
    <row r="153" spans="1:21" x14ac:dyDescent="0.35">
      <c r="A153" s="1">
        <v>2.589</v>
      </c>
      <c r="B153" s="1">
        <v>-10.356999999999999</v>
      </c>
      <c r="F153" s="1">
        <v>1.3959999999999999</v>
      </c>
      <c r="G153" s="1">
        <v>-3.8639999999999999</v>
      </c>
      <c r="J153" s="1">
        <v>2.1379999999999999</v>
      </c>
      <c r="K153" s="1">
        <v>-3.8010000000000002</v>
      </c>
      <c r="O153" s="1">
        <v>2.1110000000000002</v>
      </c>
      <c r="P153" s="1">
        <v>-3.2879999999999998</v>
      </c>
      <c r="T153" s="1">
        <v>1.0489999999999999</v>
      </c>
      <c r="U153" s="1">
        <v>-3.9689999999999999</v>
      </c>
    </row>
    <row r="154" spans="1:21" x14ac:dyDescent="0.35">
      <c r="A154" s="1">
        <v>2.323</v>
      </c>
      <c r="B154" s="1">
        <v>-10.786</v>
      </c>
      <c r="F154" s="1">
        <v>1.2969999999999999</v>
      </c>
      <c r="G154" s="1">
        <v>-4.0110000000000001</v>
      </c>
      <c r="J154" s="1">
        <v>2.0390000000000001</v>
      </c>
      <c r="K154" s="1">
        <v>-4.0839999999999996</v>
      </c>
      <c r="O154" s="1">
        <v>2.0249999999999999</v>
      </c>
      <c r="P154" s="1">
        <v>-3.581</v>
      </c>
      <c r="T154" s="1">
        <v>0.94899999999999995</v>
      </c>
      <c r="U154" s="1">
        <v>-4.0629999999999997</v>
      </c>
    </row>
    <row r="155" spans="1:21" x14ac:dyDescent="0.35">
      <c r="A155" s="1">
        <v>2.048</v>
      </c>
      <c r="B155" s="1">
        <v>-11.163</v>
      </c>
      <c r="F155" s="1">
        <v>1.1950000000000001</v>
      </c>
      <c r="G155" s="1">
        <v>-4.1360000000000001</v>
      </c>
      <c r="J155" s="1">
        <v>1.9339999999999999</v>
      </c>
      <c r="K155" s="1">
        <v>-4.3559999999999999</v>
      </c>
      <c r="O155" s="1">
        <v>1.9319999999999999</v>
      </c>
      <c r="P155" s="1">
        <v>-3.8540000000000001</v>
      </c>
      <c r="T155" s="1">
        <v>0.84499999999999997</v>
      </c>
      <c r="U155" s="1">
        <v>-4.1360000000000001</v>
      </c>
    </row>
    <row r="156" spans="1:21" x14ac:dyDescent="0.35">
      <c r="A156" s="1">
        <v>1.764</v>
      </c>
      <c r="B156" s="1">
        <v>-11.477</v>
      </c>
      <c r="F156" s="1">
        <v>1.0900000000000001</v>
      </c>
      <c r="G156" s="1">
        <v>-4.2409999999999997</v>
      </c>
      <c r="J156" s="1">
        <v>1.821</v>
      </c>
      <c r="K156" s="1">
        <v>-4.5970000000000004</v>
      </c>
      <c r="O156" s="1">
        <v>1.8320000000000001</v>
      </c>
      <c r="P156" s="1">
        <v>-4.1050000000000004</v>
      </c>
      <c r="T156" s="1">
        <v>0.74099999999999999</v>
      </c>
      <c r="U156" s="1">
        <v>-4.1890000000000001</v>
      </c>
    </row>
    <row r="157" spans="1:21" x14ac:dyDescent="0.35">
      <c r="A157" s="1">
        <v>1.4730000000000001</v>
      </c>
      <c r="B157" s="1">
        <v>-11.75</v>
      </c>
      <c r="F157" s="1">
        <v>0.98299999999999998</v>
      </c>
      <c r="G157" s="1">
        <v>-4.335</v>
      </c>
      <c r="J157" s="1">
        <v>1.7030000000000001</v>
      </c>
      <c r="K157" s="1">
        <v>-4.8070000000000004</v>
      </c>
      <c r="O157" s="1">
        <v>1.726</v>
      </c>
      <c r="P157" s="1">
        <v>-4.3250000000000002</v>
      </c>
      <c r="T157" s="1">
        <v>0.63600000000000001</v>
      </c>
      <c r="U157" s="1">
        <v>-4.2309999999999999</v>
      </c>
    </row>
    <row r="158" spans="1:21" x14ac:dyDescent="0.35">
      <c r="A158" s="1">
        <v>1.177</v>
      </c>
      <c r="B158" s="1">
        <v>-11.968999999999999</v>
      </c>
      <c r="F158" s="1">
        <v>0.873</v>
      </c>
      <c r="G158" s="1">
        <v>-4.4089999999999998</v>
      </c>
      <c r="J158" s="1">
        <v>1.58</v>
      </c>
      <c r="K158" s="1">
        <v>-4.9950000000000001</v>
      </c>
      <c r="O158" s="1">
        <v>1.615</v>
      </c>
      <c r="P158" s="1">
        <v>-4.524</v>
      </c>
      <c r="T158" s="1">
        <v>0.52900000000000003</v>
      </c>
      <c r="U158" s="1">
        <v>-4.2519999999999998</v>
      </c>
    </row>
    <row r="159" spans="1:21" x14ac:dyDescent="0.35">
      <c r="A159" s="1">
        <v>0.873</v>
      </c>
      <c r="B159" s="1">
        <v>-12.137</v>
      </c>
      <c r="F159" s="1">
        <v>0.76200000000000001</v>
      </c>
      <c r="G159" s="1">
        <v>-4.4509999999999996</v>
      </c>
      <c r="J159" s="1">
        <v>1.4530000000000001</v>
      </c>
      <c r="K159" s="1">
        <v>-5.173</v>
      </c>
      <c r="O159" s="1">
        <v>1.5</v>
      </c>
      <c r="P159" s="1">
        <v>-4.7119999999999997</v>
      </c>
      <c r="T159" s="1">
        <v>0.42299999999999999</v>
      </c>
      <c r="U159" s="1">
        <v>-4.2519999999999998</v>
      </c>
    </row>
    <row r="160" spans="1:21" x14ac:dyDescent="0.35">
      <c r="A160" s="1">
        <v>0.56899999999999995</v>
      </c>
      <c r="B160" s="1">
        <v>-12.252000000000001</v>
      </c>
      <c r="F160" s="1">
        <v>0.65</v>
      </c>
      <c r="G160" s="1">
        <v>-4.4610000000000003</v>
      </c>
      <c r="J160" s="1">
        <v>1.321</v>
      </c>
      <c r="K160" s="1">
        <v>-5.32</v>
      </c>
      <c r="O160" s="1">
        <v>1.379</v>
      </c>
      <c r="P160" s="1">
        <v>-4.88</v>
      </c>
      <c r="T160" s="1">
        <v>0.317</v>
      </c>
      <c r="U160" s="1">
        <v>-4.2309999999999999</v>
      </c>
    </row>
    <row r="161" spans="1:21" x14ac:dyDescent="0.35">
      <c r="A161" s="1">
        <v>0.26100000000000001</v>
      </c>
      <c r="B161" s="1">
        <v>-12.305</v>
      </c>
      <c r="F161" s="1">
        <v>0.53900000000000003</v>
      </c>
      <c r="G161" s="1">
        <v>-4.4610000000000003</v>
      </c>
      <c r="J161" s="1">
        <v>1.1859999999999999</v>
      </c>
      <c r="K161" s="1">
        <v>-5.4349999999999996</v>
      </c>
      <c r="O161" s="1">
        <v>1.2549999999999999</v>
      </c>
      <c r="P161" s="1">
        <v>-5.016</v>
      </c>
      <c r="T161" s="1">
        <v>0.21</v>
      </c>
      <c r="U161" s="1">
        <v>-4.1989999999999998</v>
      </c>
    </row>
    <row r="162" spans="1:21" x14ac:dyDescent="0.35">
      <c r="A162" s="1">
        <v>-4.9000000000000002E-2</v>
      </c>
      <c r="B162" s="1">
        <v>-12.305</v>
      </c>
      <c r="F162" s="1">
        <v>0.42699999999999999</v>
      </c>
      <c r="G162" s="1">
        <v>-4.4509999999999996</v>
      </c>
      <c r="J162" s="1">
        <v>1.0489999999999999</v>
      </c>
      <c r="K162" s="1">
        <v>-5.5289999999999999</v>
      </c>
      <c r="O162" s="1">
        <v>1.1279999999999999</v>
      </c>
      <c r="P162" s="1">
        <v>-5.1210000000000004</v>
      </c>
      <c r="T162" s="1">
        <v>0.107</v>
      </c>
      <c r="U162" s="1">
        <v>-4.1470000000000002</v>
      </c>
    </row>
    <row r="163" spans="1:21" x14ac:dyDescent="0.35">
      <c r="A163" s="1">
        <v>-0.35499999999999998</v>
      </c>
      <c r="B163" s="1">
        <v>-12.252000000000001</v>
      </c>
      <c r="F163" s="1">
        <v>0.316</v>
      </c>
      <c r="G163" s="1">
        <v>-4.43</v>
      </c>
      <c r="J163" s="1">
        <v>0.90900000000000003</v>
      </c>
      <c r="K163" s="1">
        <v>-5.6029999999999998</v>
      </c>
      <c r="O163" s="1">
        <v>0.999</v>
      </c>
      <c r="P163" s="1">
        <v>-5.2149999999999999</v>
      </c>
      <c r="T163" s="1">
        <v>3.0000000000000001E-3</v>
      </c>
      <c r="U163" s="1">
        <v>-4.0629999999999997</v>
      </c>
    </row>
    <row r="164" spans="1:21" x14ac:dyDescent="0.35">
      <c r="A164" s="1">
        <v>-0.66100000000000003</v>
      </c>
      <c r="B164" s="1">
        <v>-12.157999999999999</v>
      </c>
      <c r="F164" s="1">
        <v>0.20599999999999999</v>
      </c>
      <c r="G164" s="1">
        <v>-4.3879999999999999</v>
      </c>
      <c r="J164" s="1">
        <v>0.76800000000000002</v>
      </c>
      <c r="K164" s="1">
        <v>-5.6550000000000002</v>
      </c>
      <c r="O164" s="1">
        <v>0.86699999999999999</v>
      </c>
      <c r="P164" s="1">
        <v>-5.2880000000000003</v>
      </c>
      <c r="T164" s="1">
        <v>-9.7000000000000003E-2</v>
      </c>
      <c r="U164" s="1">
        <v>-3.9689999999999999</v>
      </c>
    </row>
    <row r="165" spans="1:21" x14ac:dyDescent="0.35">
      <c r="A165" s="1">
        <v>-0.96399999999999997</v>
      </c>
      <c r="B165" s="1">
        <v>-12.022</v>
      </c>
      <c r="F165" s="1">
        <v>9.6000000000000002E-2</v>
      </c>
      <c r="G165" s="1">
        <v>-4.3140000000000001</v>
      </c>
      <c r="J165" s="1">
        <v>0.627</v>
      </c>
      <c r="K165" s="1">
        <v>-5.6760000000000002</v>
      </c>
      <c r="O165" s="1">
        <v>0.73399999999999999</v>
      </c>
      <c r="P165" s="1">
        <v>-5.3410000000000002</v>
      </c>
    </row>
    <row r="166" spans="1:21" x14ac:dyDescent="0.35">
      <c r="A166" s="1">
        <v>-1.2629999999999999</v>
      </c>
      <c r="B166" s="1">
        <v>-11.833</v>
      </c>
      <c r="F166" s="1">
        <v>-1.0999999999999999E-2</v>
      </c>
      <c r="G166" s="1">
        <v>-4.22</v>
      </c>
      <c r="J166" s="1">
        <v>0.48399999999999999</v>
      </c>
      <c r="K166" s="1">
        <v>-5.6760000000000002</v>
      </c>
      <c r="O166" s="1">
        <v>0.6</v>
      </c>
      <c r="P166" s="1">
        <v>-5.3620000000000001</v>
      </c>
    </row>
    <row r="167" spans="1:21" x14ac:dyDescent="0.35">
      <c r="A167" s="1">
        <v>-1.5569999999999999</v>
      </c>
      <c r="B167" s="1">
        <v>-11.592000000000001</v>
      </c>
      <c r="F167" s="1">
        <v>-0.115</v>
      </c>
      <c r="G167" s="1">
        <v>-4.1150000000000002</v>
      </c>
      <c r="J167" s="1">
        <v>0.34200000000000003</v>
      </c>
      <c r="K167" s="1">
        <v>-5.6550000000000002</v>
      </c>
      <c r="O167" s="1">
        <v>0.46500000000000002</v>
      </c>
      <c r="P167" s="1">
        <v>-5.3620000000000001</v>
      </c>
    </row>
    <row r="168" spans="1:21" x14ac:dyDescent="0.35">
      <c r="A168" s="1">
        <v>-1.8440000000000001</v>
      </c>
      <c r="B168" s="1">
        <v>-11.298999999999999</v>
      </c>
      <c r="F168" s="1">
        <v>-0.217</v>
      </c>
      <c r="G168" s="1">
        <v>-4</v>
      </c>
      <c r="J168" s="1">
        <v>0.20100000000000001</v>
      </c>
      <c r="K168" s="1">
        <v>-5.6029999999999998</v>
      </c>
      <c r="O168" s="1">
        <v>0.33100000000000002</v>
      </c>
      <c r="P168" s="1">
        <v>-5.3410000000000002</v>
      </c>
    </row>
    <row r="169" spans="1:21" x14ac:dyDescent="0.35">
      <c r="A169" s="1">
        <v>-2.1219999999999999</v>
      </c>
      <c r="B169" s="1">
        <v>-10.954000000000001</v>
      </c>
      <c r="F169" s="1">
        <v>-0.316</v>
      </c>
      <c r="G169" s="1">
        <v>-3.875</v>
      </c>
      <c r="J169" s="1">
        <v>6.0999999999999999E-2</v>
      </c>
      <c r="K169" s="1">
        <v>-5.5190000000000001</v>
      </c>
      <c r="O169" s="1">
        <v>0.19800000000000001</v>
      </c>
      <c r="P169" s="1">
        <v>-5.2880000000000003</v>
      </c>
    </row>
    <row r="170" spans="1:21" x14ac:dyDescent="0.35">
      <c r="A170" s="1">
        <v>-2.3919999999999999</v>
      </c>
      <c r="B170" s="1">
        <v>-10.566000000000001</v>
      </c>
      <c r="F170" s="1">
        <v>-0.41</v>
      </c>
      <c r="G170" s="1">
        <v>-3.7280000000000002</v>
      </c>
      <c r="J170" s="1">
        <v>-7.4999999999999997E-2</v>
      </c>
      <c r="K170" s="1">
        <v>-5.4139999999999997</v>
      </c>
      <c r="O170" s="1">
        <v>6.6000000000000003E-2</v>
      </c>
      <c r="P170" s="1">
        <v>-5.2149999999999999</v>
      </c>
    </row>
    <row r="171" spans="1:21" x14ac:dyDescent="0.35">
      <c r="A171" s="1">
        <v>-2.6520000000000001</v>
      </c>
      <c r="B171" s="1">
        <v>-10.147</v>
      </c>
      <c r="F171" s="1">
        <v>-0.503</v>
      </c>
      <c r="G171" s="1">
        <v>-3.5710000000000002</v>
      </c>
      <c r="J171" s="1">
        <v>-0.20899999999999999</v>
      </c>
      <c r="K171" s="1">
        <v>-5.2990000000000004</v>
      </c>
      <c r="O171" s="1">
        <v>-6.3E-2</v>
      </c>
      <c r="P171" s="1">
        <v>-5.1210000000000004</v>
      </c>
    </row>
    <row r="172" spans="1:21" x14ac:dyDescent="0.35">
      <c r="A172" s="1">
        <v>-2.9</v>
      </c>
      <c r="B172" s="1">
        <v>-9.6869999999999994</v>
      </c>
      <c r="F172" s="1">
        <v>-0.58899999999999997</v>
      </c>
      <c r="G172" s="1">
        <v>-3.403</v>
      </c>
      <c r="J172" s="1">
        <v>-0.34100000000000003</v>
      </c>
      <c r="K172" s="1">
        <v>-5.1630000000000003</v>
      </c>
      <c r="O172" s="1">
        <v>-0.19</v>
      </c>
      <c r="P172" s="1">
        <v>-5.016</v>
      </c>
    </row>
    <row r="173" spans="1:21" x14ac:dyDescent="0.35">
      <c r="A173" s="1">
        <v>-3.137</v>
      </c>
      <c r="B173" s="1">
        <v>-9.173</v>
      </c>
      <c r="F173" s="1">
        <v>-0.67200000000000004</v>
      </c>
      <c r="G173" s="1">
        <v>-3.2149999999999999</v>
      </c>
      <c r="J173" s="1">
        <v>-0.46800000000000003</v>
      </c>
      <c r="K173" s="1">
        <v>-5.0060000000000002</v>
      </c>
      <c r="O173" s="1">
        <v>-0.314</v>
      </c>
      <c r="P173" s="1">
        <v>-4.8899999999999997</v>
      </c>
    </row>
    <row r="174" spans="1:21" x14ac:dyDescent="0.35">
      <c r="A174" s="1">
        <v>-3.36</v>
      </c>
      <c r="B174" s="1">
        <v>-8.5969999999999995</v>
      </c>
      <c r="F174" s="1">
        <v>-0.751</v>
      </c>
      <c r="G174" s="1">
        <v>-3.0259999999999998</v>
      </c>
      <c r="J174" s="1">
        <v>-0.59099999999999997</v>
      </c>
      <c r="K174" s="1">
        <v>-4.8280000000000003</v>
      </c>
      <c r="O174" s="1">
        <v>-0.435</v>
      </c>
      <c r="P174" s="1">
        <v>-4.7329999999999997</v>
      </c>
    </row>
    <row r="175" spans="1:21" x14ac:dyDescent="0.35">
      <c r="A175" s="1">
        <v>-3.5670000000000002</v>
      </c>
      <c r="B175" s="1">
        <v>-7.98</v>
      </c>
      <c r="F175" s="1">
        <v>-0.82299999999999995</v>
      </c>
      <c r="G175" s="1">
        <v>-2.827</v>
      </c>
      <c r="J175" s="1">
        <v>-0.71</v>
      </c>
      <c r="K175" s="1">
        <v>-4.6390000000000002</v>
      </c>
      <c r="O175" s="1">
        <v>-0.55100000000000005</v>
      </c>
      <c r="P175" s="1">
        <v>-4.5549999999999997</v>
      </c>
    </row>
    <row r="176" spans="1:21" x14ac:dyDescent="0.35">
      <c r="A176" s="1">
        <v>-3.7589999999999999</v>
      </c>
      <c r="B176" s="1">
        <v>-7.351</v>
      </c>
      <c r="F176" s="1">
        <v>-0.89200000000000002</v>
      </c>
      <c r="G176" s="1">
        <v>-2.6179999999999999</v>
      </c>
      <c r="J176" s="1">
        <v>-0.82299999999999995</v>
      </c>
      <c r="K176" s="1">
        <v>-4.43</v>
      </c>
      <c r="O176" s="1">
        <v>-0.66300000000000003</v>
      </c>
      <c r="P176" s="1">
        <v>-4.367</v>
      </c>
    </row>
    <row r="177" spans="1:16" x14ac:dyDescent="0.35">
      <c r="A177" s="1">
        <v>-3.9350000000000001</v>
      </c>
      <c r="B177" s="1">
        <v>-6.702</v>
      </c>
      <c r="F177" s="1">
        <v>-0.95499999999999996</v>
      </c>
      <c r="G177" s="1">
        <v>-2.3980000000000001</v>
      </c>
      <c r="J177" s="1">
        <v>-0.93100000000000005</v>
      </c>
      <c r="K177" s="1">
        <v>-4.1989999999999998</v>
      </c>
      <c r="O177" s="1">
        <v>-0.77</v>
      </c>
      <c r="P177" s="1">
        <v>-4.1779999999999999</v>
      </c>
    </row>
    <row r="178" spans="1:16" x14ac:dyDescent="0.35">
      <c r="A178" s="1">
        <v>-4.0949999999999998</v>
      </c>
      <c r="B178" s="1">
        <v>-6.0209999999999999</v>
      </c>
      <c r="F178" s="1">
        <v>-1.012</v>
      </c>
      <c r="G178" s="1">
        <v>-2.1680000000000001</v>
      </c>
      <c r="J178" s="1">
        <v>-1.034</v>
      </c>
      <c r="K178" s="1">
        <v>-3.9580000000000002</v>
      </c>
      <c r="O178" s="1">
        <v>-0.872</v>
      </c>
      <c r="P178" s="1">
        <v>-3.9689999999999999</v>
      </c>
    </row>
    <row r="179" spans="1:16" x14ac:dyDescent="0.35">
      <c r="A179" s="1">
        <v>-4.2359999999999998</v>
      </c>
      <c r="B179" s="1">
        <v>-5.32</v>
      </c>
      <c r="F179" s="1">
        <v>-1.0629999999999999</v>
      </c>
      <c r="G179" s="1">
        <v>-1.9370000000000001</v>
      </c>
      <c r="J179" s="1">
        <v>-1.129</v>
      </c>
      <c r="K179" s="1">
        <v>-3.6970000000000001</v>
      </c>
      <c r="O179" s="1">
        <v>-0.96899999999999997</v>
      </c>
      <c r="P179" s="1">
        <v>-3.738</v>
      </c>
    </row>
    <row r="180" spans="1:16" x14ac:dyDescent="0.35">
      <c r="A180" s="1">
        <v>-4.3609999999999998</v>
      </c>
      <c r="B180" s="1">
        <v>-4.5869999999999997</v>
      </c>
      <c r="F180" s="1">
        <v>-1.109</v>
      </c>
      <c r="G180" s="1">
        <v>-1.696</v>
      </c>
      <c r="J180" s="1">
        <v>-1.2190000000000001</v>
      </c>
      <c r="K180" s="1">
        <v>-3.4239999999999999</v>
      </c>
      <c r="O180" s="1">
        <v>-1.0589999999999999</v>
      </c>
      <c r="P180" s="1">
        <v>-3.4980000000000002</v>
      </c>
    </row>
    <row r="181" spans="1:16" x14ac:dyDescent="0.35">
      <c r="A181" s="1">
        <v>-4.4669999999999996</v>
      </c>
      <c r="B181" s="1">
        <v>-3.8330000000000002</v>
      </c>
      <c r="F181" s="1">
        <v>-1.1479999999999999</v>
      </c>
      <c r="G181" s="1">
        <v>-1.4450000000000001</v>
      </c>
      <c r="J181" s="1">
        <v>-1.3009999999999999</v>
      </c>
      <c r="K181" s="1">
        <v>-3.1419999999999999</v>
      </c>
      <c r="O181" s="1">
        <v>-1.1439999999999999</v>
      </c>
      <c r="P181" s="1">
        <v>-3.246</v>
      </c>
    </row>
    <row r="182" spans="1:16" x14ac:dyDescent="0.35">
      <c r="A182" s="1">
        <v>-4.5519999999999996</v>
      </c>
      <c r="B182" s="1">
        <v>-3.0579999999999998</v>
      </c>
      <c r="F182" s="1">
        <v>-1.181</v>
      </c>
      <c r="G182" s="1">
        <v>-1.204</v>
      </c>
      <c r="J182" s="1">
        <v>-1.3759999999999999</v>
      </c>
      <c r="K182" s="1">
        <v>-2.859</v>
      </c>
      <c r="O182" s="1">
        <v>-1.222</v>
      </c>
      <c r="P182" s="1">
        <v>-2.9950000000000001</v>
      </c>
    </row>
    <row r="183" spans="1:16" x14ac:dyDescent="0.35">
      <c r="A183" s="1">
        <v>-4.62</v>
      </c>
      <c r="B183" s="1">
        <v>-2.2829999999999999</v>
      </c>
      <c r="F183" s="1">
        <v>-1.208</v>
      </c>
      <c r="G183" s="1">
        <v>-0.96299999999999997</v>
      </c>
      <c r="J183" s="1">
        <v>-1.444</v>
      </c>
      <c r="K183" s="1">
        <v>-2.5760000000000001</v>
      </c>
      <c r="O183" s="1">
        <v>-1.2929999999999999</v>
      </c>
      <c r="P183" s="1">
        <v>-2.7229999999999999</v>
      </c>
    </row>
    <row r="184" spans="1:16" x14ac:dyDescent="0.35">
      <c r="A184" s="1">
        <v>-4.6669999999999998</v>
      </c>
      <c r="B184" s="1">
        <v>-1.508</v>
      </c>
      <c r="F184" s="1">
        <v>-1.23</v>
      </c>
      <c r="G184" s="1">
        <v>-0.72299999999999998</v>
      </c>
      <c r="J184" s="1">
        <v>-1.5049999999999999</v>
      </c>
      <c r="K184" s="1">
        <v>-2.2829999999999999</v>
      </c>
      <c r="O184" s="1">
        <v>-1.359</v>
      </c>
      <c r="P184" s="1">
        <v>-2.44</v>
      </c>
    </row>
    <row r="185" spans="1:16" x14ac:dyDescent="0.35">
      <c r="A185" s="1">
        <v>-4.6950000000000003</v>
      </c>
      <c r="B185" s="1">
        <v>-0.72299999999999998</v>
      </c>
      <c r="F185" s="1">
        <v>-1.244</v>
      </c>
      <c r="G185" s="1">
        <v>-0.48199999999999998</v>
      </c>
      <c r="J185" s="1">
        <v>-1.5580000000000001</v>
      </c>
      <c r="K185" s="1">
        <v>-1.9690000000000001</v>
      </c>
      <c r="O185" s="1">
        <v>-1.415</v>
      </c>
      <c r="P185" s="1">
        <v>-2.157</v>
      </c>
    </row>
    <row r="186" spans="1:16" x14ac:dyDescent="0.35">
      <c r="A186" s="1">
        <v>-4.7030000000000003</v>
      </c>
      <c r="B186" s="1">
        <v>7.2999999999999995E-2</v>
      </c>
      <c r="F186" s="1">
        <v>-1.2529999999999999</v>
      </c>
      <c r="G186" s="1">
        <v>-0.251</v>
      </c>
      <c r="J186" s="1">
        <v>-1.6040000000000001</v>
      </c>
      <c r="K186" s="1">
        <v>-1.6439999999999999</v>
      </c>
      <c r="O186" s="1">
        <v>-1.466</v>
      </c>
      <c r="P186" s="1">
        <v>-1.8740000000000001</v>
      </c>
    </row>
    <row r="187" spans="1:16" x14ac:dyDescent="0.35">
      <c r="A187" s="1">
        <v>-4.6920000000000002</v>
      </c>
      <c r="B187" s="1">
        <v>0.88</v>
      </c>
      <c r="F187" s="1">
        <v>-1.2569999999999999</v>
      </c>
      <c r="G187" s="1">
        <v>-2.1000000000000001E-2</v>
      </c>
      <c r="J187" s="1">
        <v>-1.64</v>
      </c>
      <c r="K187" s="1">
        <v>-1.33</v>
      </c>
      <c r="O187" s="1">
        <v>-1.51</v>
      </c>
      <c r="P187" s="1">
        <v>-1.5920000000000001</v>
      </c>
    </row>
    <row r="188" spans="1:16" x14ac:dyDescent="0.35">
      <c r="A188" s="1">
        <v>-4.6589999999999998</v>
      </c>
      <c r="B188" s="1">
        <v>1.6759999999999999</v>
      </c>
      <c r="F188" s="1">
        <v>-1.2549999999999999</v>
      </c>
      <c r="G188" s="1">
        <v>0.22</v>
      </c>
      <c r="J188" s="1">
        <v>-1.67</v>
      </c>
      <c r="K188" s="1">
        <v>-1.026</v>
      </c>
      <c r="O188" s="1">
        <v>-1.546</v>
      </c>
      <c r="P188" s="1">
        <v>-1.288</v>
      </c>
    </row>
    <row r="189" spans="1:16" x14ac:dyDescent="0.35">
      <c r="A189" s="1">
        <v>-4.6070000000000002</v>
      </c>
      <c r="B189" s="1">
        <v>2.4500000000000002</v>
      </c>
      <c r="F189" s="1">
        <v>-1.246</v>
      </c>
      <c r="G189" s="1">
        <v>0.45</v>
      </c>
      <c r="J189" s="1">
        <v>-1.6919999999999999</v>
      </c>
      <c r="K189" s="1">
        <v>-0.72299999999999998</v>
      </c>
      <c r="O189" s="1">
        <v>-1.5740000000000001</v>
      </c>
      <c r="P189" s="1">
        <v>-0.98399999999999999</v>
      </c>
    </row>
    <row r="190" spans="1:16" x14ac:dyDescent="0.35">
      <c r="A190" s="1">
        <v>-4.5359999999999996</v>
      </c>
      <c r="B190" s="1">
        <v>3.194</v>
      </c>
      <c r="F190" s="1">
        <v>-1.232</v>
      </c>
      <c r="G190" s="1">
        <v>0.66</v>
      </c>
      <c r="J190" s="1">
        <v>-1.706</v>
      </c>
      <c r="K190" s="1">
        <v>-0.41899999999999998</v>
      </c>
      <c r="O190" s="1">
        <v>-1.5940000000000001</v>
      </c>
      <c r="P190" s="1">
        <v>-0.69099999999999995</v>
      </c>
    </row>
    <row r="191" spans="1:16" x14ac:dyDescent="0.35">
      <c r="A191" s="1">
        <v>-4.4470000000000001</v>
      </c>
      <c r="B191" s="1">
        <v>3.9369999999999998</v>
      </c>
      <c r="F191" s="1">
        <v>-1.2130000000000001</v>
      </c>
      <c r="G191" s="1">
        <v>0.85899999999999999</v>
      </c>
      <c r="J191" s="1">
        <v>-1.712</v>
      </c>
      <c r="K191" s="1">
        <v>-0.126</v>
      </c>
      <c r="O191" s="1">
        <v>-1.6080000000000001</v>
      </c>
      <c r="P191" s="1">
        <v>-0.41899999999999998</v>
      </c>
    </row>
    <row r="192" spans="1:16" x14ac:dyDescent="0.35">
      <c r="A192" s="1">
        <v>-4.34</v>
      </c>
      <c r="B192" s="1">
        <v>4.6710000000000003</v>
      </c>
      <c r="F192" s="1">
        <v>-1.1890000000000001</v>
      </c>
      <c r="G192" s="1">
        <v>1.0580000000000001</v>
      </c>
      <c r="J192" s="1">
        <v>-1.712</v>
      </c>
      <c r="K192" s="1">
        <v>0.157</v>
      </c>
      <c r="O192" s="1">
        <v>-1.615</v>
      </c>
      <c r="P192" s="1">
        <v>-0.14699999999999999</v>
      </c>
    </row>
    <row r="193" spans="1:16" x14ac:dyDescent="0.35">
      <c r="A193" s="1">
        <v>-4.2130000000000001</v>
      </c>
      <c r="B193" s="1">
        <v>5.3929999999999998</v>
      </c>
      <c r="F193" s="1">
        <v>-1.159</v>
      </c>
      <c r="G193" s="1">
        <v>1.246</v>
      </c>
      <c r="J193" s="1">
        <v>-1.704</v>
      </c>
      <c r="K193" s="1">
        <v>0.44</v>
      </c>
      <c r="O193" s="1">
        <v>-1.6160000000000001</v>
      </c>
      <c r="P193" s="1">
        <v>0.13600000000000001</v>
      </c>
    </row>
    <row r="194" spans="1:16" x14ac:dyDescent="0.35">
      <c r="A194" s="1">
        <v>-4.07</v>
      </c>
      <c r="B194" s="1">
        <v>6.0839999999999996</v>
      </c>
      <c r="F194" s="1">
        <v>-1.1259999999999999</v>
      </c>
      <c r="G194" s="1">
        <v>1.4239999999999999</v>
      </c>
      <c r="J194" s="1">
        <v>-1.69</v>
      </c>
      <c r="K194" s="1">
        <v>0.72299999999999998</v>
      </c>
      <c r="O194" s="1">
        <v>-1.6080000000000001</v>
      </c>
      <c r="P194" s="1">
        <v>0.41899999999999998</v>
      </c>
    </row>
    <row r="195" spans="1:16" x14ac:dyDescent="0.35">
      <c r="A195" s="1">
        <v>-3.9079999999999999</v>
      </c>
      <c r="B195" s="1">
        <v>6.7439999999999998</v>
      </c>
      <c r="F195" s="1">
        <v>-1.089</v>
      </c>
      <c r="G195" s="1">
        <v>1.5920000000000001</v>
      </c>
      <c r="J195" s="1">
        <v>-1.6679999999999999</v>
      </c>
      <c r="K195" s="1">
        <v>0.995</v>
      </c>
      <c r="O195" s="1">
        <v>-1.5940000000000001</v>
      </c>
      <c r="P195" s="1">
        <v>0.70199999999999996</v>
      </c>
    </row>
    <row r="196" spans="1:16" x14ac:dyDescent="0.35">
      <c r="A196" s="1">
        <v>-3.7320000000000002</v>
      </c>
      <c r="B196" s="1">
        <v>7.3719999999999999</v>
      </c>
      <c r="F196" s="1">
        <v>-1.046</v>
      </c>
      <c r="G196" s="1">
        <v>1.7589999999999999</v>
      </c>
      <c r="J196" s="1">
        <v>-1.64</v>
      </c>
      <c r="K196" s="1">
        <v>1.246</v>
      </c>
      <c r="O196" s="1">
        <v>-1.5740000000000001</v>
      </c>
      <c r="P196" s="1">
        <v>0.95299999999999996</v>
      </c>
    </row>
    <row r="197" spans="1:16" x14ac:dyDescent="0.35">
      <c r="A197" s="1">
        <v>-3.5390000000000001</v>
      </c>
      <c r="B197" s="1">
        <v>7.9690000000000003</v>
      </c>
      <c r="F197" s="1">
        <v>-1.0009999999999999</v>
      </c>
      <c r="G197" s="1">
        <v>1.9059999999999999</v>
      </c>
      <c r="J197" s="1">
        <v>-1.605</v>
      </c>
      <c r="K197" s="1">
        <v>1.4870000000000001</v>
      </c>
      <c r="O197" s="1">
        <v>-1.546</v>
      </c>
      <c r="P197" s="1">
        <v>1.194</v>
      </c>
    </row>
    <row r="198" spans="1:16" x14ac:dyDescent="0.35">
      <c r="A198" s="1">
        <v>-3.3330000000000002</v>
      </c>
      <c r="B198" s="1">
        <v>8.5350000000000001</v>
      </c>
      <c r="F198" s="1">
        <v>-0.95</v>
      </c>
      <c r="G198" s="1">
        <v>2.0419999999999998</v>
      </c>
      <c r="J198" s="1">
        <v>-1.5660000000000001</v>
      </c>
      <c r="K198" s="1">
        <v>1.728</v>
      </c>
      <c r="O198" s="1">
        <v>-1.514</v>
      </c>
      <c r="P198" s="1">
        <v>1.4139999999999999</v>
      </c>
    </row>
    <row r="199" spans="1:16" x14ac:dyDescent="0.35">
      <c r="A199" s="1">
        <v>-3.1120000000000001</v>
      </c>
      <c r="B199" s="1">
        <v>9.0579999999999998</v>
      </c>
      <c r="F199" s="1">
        <v>-0.89800000000000002</v>
      </c>
      <c r="G199" s="1">
        <v>2.1680000000000001</v>
      </c>
      <c r="J199" s="1">
        <v>-1.5189999999999999</v>
      </c>
      <c r="K199" s="1">
        <v>1.958</v>
      </c>
      <c r="O199" s="1">
        <v>-1.4750000000000001</v>
      </c>
      <c r="P199" s="1">
        <v>1.623</v>
      </c>
    </row>
    <row r="200" spans="1:16" x14ac:dyDescent="0.35">
      <c r="A200" s="1">
        <v>-2.879</v>
      </c>
      <c r="B200" s="1">
        <v>9.5399999999999991</v>
      </c>
      <c r="F200" s="1">
        <v>-0.84199999999999997</v>
      </c>
      <c r="G200" s="1">
        <v>2.2829999999999999</v>
      </c>
      <c r="J200" s="1">
        <v>-1.4670000000000001</v>
      </c>
      <c r="K200" s="1">
        <v>2.157</v>
      </c>
      <c r="O200" s="1">
        <v>-1.4330000000000001</v>
      </c>
      <c r="P200" s="1">
        <v>1.843</v>
      </c>
    </row>
    <row r="201" spans="1:16" x14ac:dyDescent="0.35">
      <c r="A201" s="1">
        <v>-2.6339999999999999</v>
      </c>
      <c r="B201" s="1">
        <v>9.98</v>
      </c>
      <c r="F201" s="1">
        <v>-0.78400000000000003</v>
      </c>
      <c r="G201" s="1">
        <v>2.3980000000000001</v>
      </c>
      <c r="J201" s="1">
        <v>-1.411</v>
      </c>
      <c r="K201" s="1">
        <v>2.335</v>
      </c>
      <c r="O201" s="1">
        <v>-1.3839999999999999</v>
      </c>
      <c r="P201" s="1">
        <v>2.0419999999999998</v>
      </c>
    </row>
    <row r="202" spans="1:16" x14ac:dyDescent="0.35">
      <c r="A202" s="1">
        <v>-2.38</v>
      </c>
      <c r="B202" s="1">
        <v>10.388</v>
      </c>
      <c r="F202" s="1">
        <v>-0.72299999999999998</v>
      </c>
      <c r="G202" s="1">
        <v>2.492</v>
      </c>
      <c r="J202" s="1">
        <v>-1.351</v>
      </c>
      <c r="K202" s="1">
        <v>2.524</v>
      </c>
      <c r="O202" s="1">
        <v>-1.329</v>
      </c>
      <c r="P202" s="1">
        <v>2.2309999999999999</v>
      </c>
    </row>
    <row r="203" spans="1:16" x14ac:dyDescent="0.35">
      <c r="A203" s="1">
        <v>-2.1139999999999999</v>
      </c>
      <c r="B203" s="1">
        <v>10.744</v>
      </c>
      <c r="F203" s="1">
        <v>-0.65800000000000003</v>
      </c>
      <c r="G203" s="1">
        <v>2.5760000000000001</v>
      </c>
      <c r="J203" s="1">
        <v>-1.2849999999999999</v>
      </c>
      <c r="K203" s="1">
        <v>2.7120000000000002</v>
      </c>
      <c r="O203" s="1">
        <v>-1.272</v>
      </c>
      <c r="P203" s="1">
        <v>2.3980000000000001</v>
      </c>
    </row>
    <row r="204" spans="1:16" x14ac:dyDescent="0.35">
      <c r="A204" s="1">
        <v>-1.841</v>
      </c>
      <c r="B204" s="1">
        <v>11.058</v>
      </c>
      <c r="F204" s="1">
        <v>-0.59399999999999997</v>
      </c>
      <c r="G204" s="1">
        <v>2.649</v>
      </c>
      <c r="J204" s="1">
        <v>-1.214</v>
      </c>
      <c r="K204" s="1">
        <v>2.8690000000000002</v>
      </c>
      <c r="O204" s="1">
        <v>-1.21</v>
      </c>
      <c r="P204" s="1">
        <v>2.5659999999999998</v>
      </c>
    </row>
    <row r="205" spans="1:16" x14ac:dyDescent="0.35">
      <c r="A205" s="1">
        <v>-1.5609999999999999</v>
      </c>
      <c r="B205" s="1">
        <v>11.32</v>
      </c>
      <c r="F205" s="1">
        <v>-0.52600000000000002</v>
      </c>
      <c r="G205" s="1">
        <v>2.7120000000000002</v>
      </c>
      <c r="J205" s="1">
        <v>-1.1399999999999999</v>
      </c>
      <c r="K205" s="1">
        <v>2.9950000000000001</v>
      </c>
      <c r="O205" s="1">
        <v>-1.1439999999999999</v>
      </c>
      <c r="P205" s="1">
        <v>2.7229999999999999</v>
      </c>
    </row>
    <row r="206" spans="1:16" x14ac:dyDescent="0.35">
      <c r="A206" s="1">
        <v>-1.274</v>
      </c>
      <c r="B206" s="1">
        <v>11.54</v>
      </c>
      <c r="F206" s="1">
        <v>-0.45700000000000002</v>
      </c>
      <c r="G206" s="1">
        <v>2.7650000000000001</v>
      </c>
      <c r="J206" s="1">
        <v>-1.0649999999999999</v>
      </c>
      <c r="K206" s="1">
        <v>3.121</v>
      </c>
      <c r="O206" s="1">
        <v>-1.073</v>
      </c>
      <c r="P206" s="1">
        <v>2.8479999999999999</v>
      </c>
    </row>
    <row r="207" spans="1:16" x14ac:dyDescent="0.35">
      <c r="A207" s="1">
        <v>-0.98299999999999998</v>
      </c>
      <c r="B207" s="1">
        <v>11.708</v>
      </c>
      <c r="F207" s="1">
        <v>-0.38800000000000001</v>
      </c>
      <c r="G207" s="1">
        <v>2.7959999999999998</v>
      </c>
      <c r="J207" s="1">
        <v>-0.98499999999999999</v>
      </c>
      <c r="K207" s="1">
        <v>3.246</v>
      </c>
      <c r="O207" s="1">
        <v>-1.0009999999999999</v>
      </c>
      <c r="P207" s="1">
        <v>2.964</v>
      </c>
    </row>
    <row r="208" spans="1:16" x14ac:dyDescent="0.35">
      <c r="A208" s="1">
        <v>-0.68799999999999994</v>
      </c>
      <c r="B208" s="1">
        <v>11.823</v>
      </c>
      <c r="F208" s="1">
        <v>-0.317</v>
      </c>
      <c r="G208" s="1">
        <v>2.8170000000000002</v>
      </c>
      <c r="J208" s="1">
        <v>-0.90200000000000002</v>
      </c>
      <c r="K208" s="1">
        <v>3.351</v>
      </c>
      <c r="O208" s="1">
        <v>-0.92500000000000004</v>
      </c>
      <c r="P208" s="1">
        <v>3.0680000000000001</v>
      </c>
    </row>
    <row r="209" spans="1:16" x14ac:dyDescent="0.35">
      <c r="A209" s="1">
        <v>-0.39100000000000001</v>
      </c>
      <c r="B209" s="1">
        <v>11.907</v>
      </c>
      <c r="F209" s="1">
        <v>-0.247</v>
      </c>
      <c r="G209" s="1">
        <v>2.827</v>
      </c>
      <c r="J209" s="1">
        <v>-0.81699999999999995</v>
      </c>
      <c r="K209" s="1">
        <v>3.4239999999999999</v>
      </c>
      <c r="O209" s="1">
        <v>-0.84699999999999998</v>
      </c>
      <c r="P209" s="1">
        <v>3.1629999999999998</v>
      </c>
    </row>
    <row r="210" spans="1:16" x14ac:dyDescent="0.35">
      <c r="A210" s="1">
        <v>-9.2999999999999999E-2</v>
      </c>
      <c r="B210" s="1">
        <v>11.949</v>
      </c>
      <c r="F210" s="1">
        <v>-0.17599999999999999</v>
      </c>
      <c r="G210" s="1">
        <v>2.8170000000000002</v>
      </c>
      <c r="J210" s="1">
        <v>-0.73</v>
      </c>
      <c r="K210" s="1">
        <v>3.4870000000000001</v>
      </c>
      <c r="O210" s="1">
        <v>-0.76700000000000002</v>
      </c>
      <c r="P210" s="1">
        <v>3.2360000000000002</v>
      </c>
    </row>
    <row r="211" spans="1:16" x14ac:dyDescent="0.35">
      <c r="A211" s="1">
        <v>0.20699999999999999</v>
      </c>
      <c r="B211" s="1">
        <v>11.938000000000001</v>
      </c>
      <c r="F211" s="1">
        <v>-0.105</v>
      </c>
      <c r="G211" s="1">
        <v>2.806</v>
      </c>
      <c r="J211" s="1">
        <v>-0.64200000000000002</v>
      </c>
      <c r="K211" s="1">
        <v>3.54</v>
      </c>
      <c r="O211" s="1">
        <v>-0.68500000000000005</v>
      </c>
      <c r="P211" s="1">
        <v>3.2989999999999999</v>
      </c>
    </row>
    <row r="212" spans="1:16" x14ac:dyDescent="0.35">
      <c r="A212" s="1">
        <v>0.50600000000000001</v>
      </c>
      <c r="B212" s="1">
        <v>11.865</v>
      </c>
      <c r="F212" s="1">
        <v>-3.5999999999999997E-2</v>
      </c>
      <c r="G212" s="1">
        <v>2.786</v>
      </c>
      <c r="J212" s="1">
        <v>-0.55300000000000005</v>
      </c>
      <c r="K212" s="1">
        <v>3.581</v>
      </c>
      <c r="O212" s="1">
        <v>-0.60199999999999998</v>
      </c>
      <c r="P212" s="1">
        <v>3.351</v>
      </c>
    </row>
    <row r="213" spans="1:16" x14ac:dyDescent="0.35">
      <c r="A213" s="1">
        <v>0.80100000000000005</v>
      </c>
      <c r="B213" s="1">
        <v>11.728999999999999</v>
      </c>
      <c r="F213" s="1">
        <v>3.5000000000000003E-2</v>
      </c>
      <c r="G213" s="1">
        <v>2.754</v>
      </c>
      <c r="J213" s="1">
        <v>-0.46300000000000002</v>
      </c>
      <c r="K213" s="1">
        <v>3.6019999999999999</v>
      </c>
      <c r="O213" s="1">
        <v>-0.51700000000000002</v>
      </c>
      <c r="P213" s="1">
        <v>3.3929999999999998</v>
      </c>
    </row>
    <row r="214" spans="1:16" x14ac:dyDescent="0.35">
      <c r="A214" s="1">
        <v>1.093</v>
      </c>
      <c r="B214" s="1">
        <v>11.551</v>
      </c>
      <c r="F214" s="1">
        <v>0.10199999999999999</v>
      </c>
      <c r="G214" s="1">
        <v>2.702</v>
      </c>
      <c r="J214" s="1">
        <v>-0.372</v>
      </c>
      <c r="K214" s="1">
        <v>3.6019999999999999</v>
      </c>
      <c r="O214" s="1">
        <v>-0.432</v>
      </c>
      <c r="P214" s="1">
        <v>3.4140000000000001</v>
      </c>
    </row>
    <row r="215" spans="1:16" x14ac:dyDescent="0.35">
      <c r="A215" s="1">
        <v>1.379</v>
      </c>
      <c r="B215" s="1">
        <v>11.331</v>
      </c>
      <c r="F215" s="1">
        <v>0.17</v>
      </c>
      <c r="G215" s="1">
        <v>2.6389999999999998</v>
      </c>
      <c r="J215" s="1">
        <v>-0.28299999999999997</v>
      </c>
      <c r="K215" s="1">
        <v>3.5920000000000001</v>
      </c>
      <c r="O215" s="1">
        <v>-0.34599999999999997</v>
      </c>
      <c r="P215" s="1">
        <v>3.4140000000000001</v>
      </c>
    </row>
    <row r="216" spans="1:16" x14ac:dyDescent="0.35">
      <c r="A216" s="1">
        <v>1.66</v>
      </c>
      <c r="B216" s="1">
        <v>11.058</v>
      </c>
      <c r="F216" s="1">
        <v>0.23400000000000001</v>
      </c>
      <c r="G216" s="1">
        <v>2.5760000000000001</v>
      </c>
      <c r="J216" s="1">
        <v>-0.193</v>
      </c>
      <c r="K216" s="1">
        <v>3.5710000000000002</v>
      </c>
      <c r="O216" s="1">
        <v>-0.26100000000000001</v>
      </c>
      <c r="P216" s="1">
        <v>3.403</v>
      </c>
    </row>
    <row r="217" spans="1:16" x14ac:dyDescent="0.35">
      <c r="A217" s="1">
        <v>1.9339999999999999</v>
      </c>
      <c r="B217" s="1">
        <v>10.723000000000001</v>
      </c>
      <c r="F217" s="1">
        <v>0.29799999999999999</v>
      </c>
      <c r="G217" s="1">
        <v>2.492</v>
      </c>
      <c r="J217" s="1">
        <v>-0.104</v>
      </c>
      <c r="K217" s="1">
        <v>3.54</v>
      </c>
      <c r="O217" s="1">
        <v>-0.17599999999999999</v>
      </c>
      <c r="P217" s="1">
        <v>3.3820000000000001</v>
      </c>
    </row>
    <row r="218" spans="1:16" x14ac:dyDescent="0.35">
      <c r="A218" s="1">
        <v>2.198</v>
      </c>
      <c r="B218" s="1">
        <v>10.336</v>
      </c>
      <c r="F218" s="1">
        <v>0.36</v>
      </c>
      <c r="G218" s="1">
        <v>2.3980000000000001</v>
      </c>
      <c r="J218" s="1">
        <v>-1.6E-2</v>
      </c>
      <c r="K218" s="1">
        <v>3.4769999999999999</v>
      </c>
      <c r="O218" s="1">
        <v>-9.0999999999999998E-2</v>
      </c>
      <c r="P218" s="1">
        <v>3.351</v>
      </c>
    </row>
    <row r="219" spans="1:16" x14ac:dyDescent="0.35">
      <c r="A219" s="1">
        <v>2.4500000000000002</v>
      </c>
      <c r="B219" s="1">
        <v>9.9169999999999998</v>
      </c>
      <c r="F219" s="1">
        <v>0.41799999999999998</v>
      </c>
      <c r="G219" s="1">
        <v>2.2930000000000001</v>
      </c>
      <c r="J219" s="1">
        <v>7.0999999999999994E-2</v>
      </c>
      <c r="K219" s="1">
        <v>3.403</v>
      </c>
      <c r="O219" s="1">
        <v>-8.0000000000000002E-3</v>
      </c>
      <c r="P219" s="1">
        <v>3.2879999999999998</v>
      </c>
    </row>
    <row r="220" spans="1:16" x14ac:dyDescent="0.35">
      <c r="A220" s="1">
        <v>2.694</v>
      </c>
      <c r="B220" s="1">
        <v>9.4670000000000005</v>
      </c>
      <c r="F220" s="1">
        <v>0.47399999999999998</v>
      </c>
      <c r="G220" s="1">
        <v>2.1890000000000001</v>
      </c>
      <c r="J220" s="1">
        <v>0.154</v>
      </c>
      <c r="K220" s="1">
        <v>3.33</v>
      </c>
      <c r="O220" s="1">
        <v>7.3999999999999996E-2</v>
      </c>
      <c r="P220" s="1">
        <v>3.2149999999999999</v>
      </c>
    </row>
    <row r="221" spans="1:16" x14ac:dyDescent="0.35">
      <c r="A221" s="1">
        <v>2.9249999999999998</v>
      </c>
      <c r="B221" s="1">
        <v>8.9740000000000002</v>
      </c>
      <c r="F221" s="1">
        <v>0.52800000000000002</v>
      </c>
      <c r="G221" s="1">
        <v>2.073</v>
      </c>
      <c r="J221" s="1">
        <v>0.23699999999999999</v>
      </c>
      <c r="K221" s="1">
        <v>3.246</v>
      </c>
      <c r="O221" s="1">
        <v>0.152</v>
      </c>
      <c r="P221" s="1">
        <v>3.1419999999999999</v>
      </c>
    </row>
    <row r="222" spans="1:16" x14ac:dyDescent="0.35">
      <c r="A222" s="1">
        <v>3.1429999999999998</v>
      </c>
      <c r="B222" s="1">
        <v>8.43</v>
      </c>
      <c r="F222" s="1">
        <v>0.57799999999999996</v>
      </c>
      <c r="G222" s="1">
        <v>1.958</v>
      </c>
      <c r="J222" s="1">
        <v>0.317</v>
      </c>
      <c r="K222" s="1">
        <v>3.1419999999999999</v>
      </c>
      <c r="O222" s="1">
        <v>0.23100000000000001</v>
      </c>
      <c r="P222" s="1">
        <v>3.0579999999999998</v>
      </c>
    </row>
    <row r="223" spans="1:16" x14ac:dyDescent="0.35">
      <c r="A223" s="1">
        <v>3.347</v>
      </c>
      <c r="B223" s="1">
        <v>7.8440000000000003</v>
      </c>
      <c r="F223" s="1">
        <v>0.625</v>
      </c>
      <c r="G223" s="1">
        <v>1.843</v>
      </c>
      <c r="J223" s="1">
        <v>0.39400000000000002</v>
      </c>
      <c r="K223" s="1">
        <v>3.0049999999999999</v>
      </c>
      <c r="O223" s="1">
        <v>0.30599999999999999</v>
      </c>
      <c r="P223" s="1">
        <v>2.9529999999999998</v>
      </c>
    </row>
    <row r="224" spans="1:16" x14ac:dyDescent="0.35">
      <c r="A224" s="1">
        <v>3.536</v>
      </c>
      <c r="B224" s="1">
        <v>7.226</v>
      </c>
      <c r="F224" s="1">
        <v>0.67100000000000004</v>
      </c>
      <c r="G224" s="1">
        <v>1.7070000000000001</v>
      </c>
      <c r="J224" s="1">
        <v>0.46800000000000003</v>
      </c>
      <c r="K224" s="1">
        <v>2.8690000000000002</v>
      </c>
      <c r="O224" s="1">
        <v>0.379</v>
      </c>
      <c r="P224" s="1">
        <v>2.827</v>
      </c>
    </row>
    <row r="225" spans="1:16" x14ac:dyDescent="0.35">
      <c r="A225" s="1">
        <v>3.7090000000000001</v>
      </c>
      <c r="B225" s="1">
        <v>6.5869999999999997</v>
      </c>
      <c r="F225" s="1">
        <v>0.71199999999999997</v>
      </c>
      <c r="G225" s="1">
        <v>1.55</v>
      </c>
      <c r="J225" s="1">
        <v>0.53700000000000003</v>
      </c>
      <c r="K225" s="1">
        <v>2.7330000000000001</v>
      </c>
      <c r="O225" s="1">
        <v>0.44800000000000001</v>
      </c>
      <c r="P225" s="1">
        <v>2.702</v>
      </c>
    </row>
    <row r="226" spans="1:16" x14ac:dyDescent="0.35">
      <c r="A226" s="1">
        <v>3.8660000000000001</v>
      </c>
      <c r="B226" s="1">
        <v>5.9269999999999996</v>
      </c>
      <c r="F226" s="1">
        <v>0.748</v>
      </c>
      <c r="G226" s="1">
        <v>1.393</v>
      </c>
      <c r="J226" s="1">
        <v>0.60499999999999998</v>
      </c>
      <c r="K226" s="1">
        <v>2.5870000000000002</v>
      </c>
      <c r="O226" s="1">
        <v>0.51400000000000001</v>
      </c>
      <c r="P226" s="1">
        <v>2.5760000000000001</v>
      </c>
    </row>
    <row r="227" spans="1:16" x14ac:dyDescent="0.35">
      <c r="A227" s="1">
        <v>4.0060000000000002</v>
      </c>
      <c r="B227" s="1">
        <v>5.2359999999999998</v>
      </c>
      <c r="F227" s="1">
        <v>0.78100000000000003</v>
      </c>
      <c r="G227" s="1">
        <v>1.2569999999999999</v>
      </c>
      <c r="J227" s="1">
        <v>0.66800000000000004</v>
      </c>
      <c r="K227" s="1">
        <v>2.4300000000000002</v>
      </c>
      <c r="O227" s="1">
        <v>0.57599999999999996</v>
      </c>
      <c r="P227" s="1">
        <v>2.44</v>
      </c>
    </row>
    <row r="228" spans="1:16" x14ac:dyDescent="0.35">
      <c r="A228" s="1">
        <v>4.1280000000000001</v>
      </c>
      <c r="B228" s="1">
        <v>4.524</v>
      </c>
      <c r="F228" s="1">
        <v>0.81100000000000005</v>
      </c>
      <c r="G228" s="1">
        <v>1.121</v>
      </c>
      <c r="J228" s="1">
        <v>0.72599999999999998</v>
      </c>
      <c r="K228" s="1">
        <v>2.2509999999999999</v>
      </c>
      <c r="O228" s="1">
        <v>0.63600000000000001</v>
      </c>
      <c r="P228" s="1">
        <v>2.2829999999999999</v>
      </c>
    </row>
    <row r="229" spans="1:16" x14ac:dyDescent="0.35">
      <c r="A229" s="1">
        <v>4.2320000000000002</v>
      </c>
      <c r="B229" s="1">
        <v>3.8010000000000002</v>
      </c>
      <c r="F229" s="1">
        <v>0.83699999999999997</v>
      </c>
      <c r="G229" s="1">
        <v>0.96299999999999997</v>
      </c>
      <c r="J229" s="1">
        <v>0.78100000000000003</v>
      </c>
      <c r="K229" s="1">
        <v>2.0840000000000001</v>
      </c>
      <c r="O229" s="1">
        <v>0.69099999999999995</v>
      </c>
      <c r="P229" s="1">
        <v>2.1150000000000002</v>
      </c>
    </row>
    <row r="230" spans="1:16" x14ac:dyDescent="0.35">
      <c r="A230" s="1">
        <v>4.3179999999999996</v>
      </c>
      <c r="B230" s="1">
        <v>3.0579999999999998</v>
      </c>
      <c r="F230" s="1">
        <v>0.85899999999999999</v>
      </c>
      <c r="G230" s="1">
        <v>0.79600000000000004</v>
      </c>
      <c r="J230" s="1">
        <v>0.82899999999999996</v>
      </c>
      <c r="K230" s="1">
        <v>1.9059999999999999</v>
      </c>
      <c r="O230" s="1">
        <v>0.74099999999999999</v>
      </c>
      <c r="P230" s="1">
        <v>1.948</v>
      </c>
    </row>
    <row r="231" spans="1:16" x14ac:dyDescent="0.35">
      <c r="A231" s="1">
        <v>4.3860000000000001</v>
      </c>
      <c r="B231" s="1">
        <v>2.2930000000000001</v>
      </c>
      <c r="F231" s="1">
        <v>0.877</v>
      </c>
      <c r="G231" s="1">
        <v>0.63900000000000001</v>
      </c>
      <c r="J231" s="1">
        <v>0.877</v>
      </c>
      <c r="K231" s="1">
        <v>1.728</v>
      </c>
      <c r="O231" s="1">
        <v>0.78900000000000003</v>
      </c>
      <c r="P231" s="1">
        <v>1.78</v>
      </c>
    </row>
    <row r="232" spans="1:16" x14ac:dyDescent="0.35">
      <c r="A232" s="1">
        <v>4.4329999999999998</v>
      </c>
      <c r="B232" s="1">
        <v>1.518</v>
      </c>
      <c r="F232" s="1">
        <v>0.89100000000000001</v>
      </c>
      <c r="G232" s="1">
        <v>0.49199999999999999</v>
      </c>
      <c r="J232" s="1">
        <v>0.91600000000000004</v>
      </c>
      <c r="K232" s="1">
        <v>1.5389999999999999</v>
      </c>
      <c r="O232" s="1">
        <v>0.83099999999999996</v>
      </c>
      <c r="P232" s="1">
        <v>1.613</v>
      </c>
    </row>
    <row r="233" spans="1:16" x14ac:dyDescent="0.35">
      <c r="A233" s="1">
        <v>4.4610000000000003</v>
      </c>
      <c r="B233" s="1">
        <v>0.754</v>
      </c>
      <c r="F233" s="1">
        <v>0.90200000000000002</v>
      </c>
      <c r="G233" s="1">
        <v>0.34599999999999997</v>
      </c>
      <c r="J233" s="1">
        <v>0.95299999999999996</v>
      </c>
      <c r="K233" s="1">
        <v>1.34</v>
      </c>
      <c r="O233" s="1">
        <v>0.86899999999999999</v>
      </c>
      <c r="P233" s="1">
        <v>1.4450000000000001</v>
      </c>
    </row>
    <row r="234" spans="1:16" x14ac:dyDescent="0.35">
      <c r="A234" s="1">
        <v>4.47</v>
      </c>
      <c r="B234" s="1">
        <v>-0.01</v>
      </c>
      <c r="F234" s="1">
        <v>0.90800000000000003</v>
      </c>
      <c r="G234" s="1">
        <v>0.19900000000000001</v>
      </c>
      <c r="J234" s="1">
        <v>0.98299999999999998</v>
      </c>
      <c r="K234" s="1">
        <v>1.141</v>
      </c>
      <c r="O234" s="1">
        <v>0.90300000000000002</v>
      </c>
      <c r="P234" s="1">
        <v>1.2669999999999999</v>
      </c>
    </row>
    <row r="235" spans="1:16" x14ac:dyDescent="0.35">
      <c r="A235" s="1">
        <v>4.4610000000000003</v>
      </c>
      <c r="B235" s="1">
        <v>-0.77500000000000002</v>
      </c>
      <c r="F235" s="1">
        <v>0.91100000000000003</v>
      </c>
      <c r="G235" s="1">
        <v>4.2000000000000003E-2</v>
      </c>
      <c r="J235" s="1">
        <v>1.01</v>
      </c>
      <c r="K235" s="1">
        <v>0.94199999999999995</v>
      </c>
      <c r="O235" s="1">
        <v>0.93300000000000005</v>
      </c>
      <c r="P235" s="1">
        <v>1.079</v>
      </c>
    </row>
    <row r="236" spans="1:16" x14ac:dyDescent="0.35">
      <c r="A236" s="1">
        <v>4.431</v>
      </c>
      <c r="B236" s="1">
        <v>-1.5389999999999999</v>
      </c>
      <c r="F236" s="1">
        <v>0.91100000000000003</v>
      </c>
      <c r="G236" s="1">
        <v>-0.115</v>
      </c>
      <c r="J236" s="1">
        <v>1.03</v>
      </c>
      <c r="K236" s="1">
        <v>0.754</v>
      </c>
      <c r="O236" s="1">
        <v>0.95699999999999996</v>
      </c>
      <c r="P236" s="1">
        <v>0.88</v>
      </c>
    </row>
    <row r="237" spans="1:16" x14ac:dyDescent="0.35">
      <c r="A237" s="1">
        <v>4.3840000000000003</v>
      </c>
      <c r="B237" s="1">
        <v>-2.2930000000000001</v>
      </c>
      <c r="F237" s="1">
        <v>0.90500000000000003</v>
      </c>
      <c r="G237" s="1">
        <v>-0.26200000000000001</v>
      </c>
      <c r="J237" s="1">
        <v>1.048</v>
      </c>
      <c r="K237" s="1">
        <v>0.55500000000000005</v>
      </c>
      <c r="O237" s="1">
        <v>0.97699999999999998</v>
      </c>
      <c r="P237" s="1">
        <v>0.69099999999999995</v>
      </c>
    </row>
    <row r="238" spans="1:16" x14ac:dyDescent="0.35">
      <c r="A238" s="1">
        <v>4.3170000000000002</v>
      </c>
      <c r="B238" s="1">
        <v>-3.0369999999999999</v>
      </c>
      <c r="F238" s="1">
        <v>0.89700000000000002</v>
      </c>
      <c r="G238" s="1">
        <v>-0.39800000000000002</v>
      </c>
      <c r="J238" s="1">
        <v>1.0589999999999999</v>
      </c>
      <c r="K238" s="1">
        <v>0.35599999999999998</v>
      </c>
      <c r="O238" s="1">
        <v>0.99099999999999999</v>
      </c>
      <c r="P238" s="1">
        <v>0.51300000000000001</v>
      </c>
    </row>
    <row r="239" spans="1:16" x14ac:dyDescent="0.35">
      <c r="A239" s="1">
        <v>4.2320000000000002</v>
      </c>
      <c r="B239" s="1">
        <v>-3.77</v>
      </c>
      <c r="F239" s="1">
        <v>0.88600000000000001</v>
      </c>
      <c r="G239" s="1">
        <v>-0.52400000000000002</v>
      </c>
      <c r="J239" s="1">
        <v>1.0649999999999999</v>
      </c>
      <c r="K239" s="1">
        <v>0.157</v>
      </c>
      <c r="O239" s="1">
        <v>1.002</v>
      </c>
      <c r="P239" s="1">
        <v>0.33500000000000002</v>
      </c>
    </row>
    <row r="240" spans="1:16" x14ac:dyDescent="0.35">
      <c r="A240" s="1">
        <v>4.1280000000000001</v>
      </c>
      <c r="B240" s="1">
        <v>-4.4720000000000004</v>
      </c>
      <c r="F240" s="1">
        <v>0.87</v>
      </c>
      <c r="G240" s="1">
        <v>-0.64900000000000002</v>
      </c>
      <c r="J240" s="1">
        <v>1.0669999999999999</v>
      </c>
      <c r="K240" s="1">
        <v>-3.1E-2</v>
      </c>
      <c r="O240" s="1">
        <v>1.008</v>
      </c>
      <c r="P240" s="1">
        <v>0.157</v>
      </c>
    </row>
    <row r="241" spans="1:16" x14ac:dyDescent="0.35">
      <c r="A241" s="1">
        <v>4.0069999999999997</v>
      </c>
      <c r="B241" s="1">
        <v>-5.1520000000000001</v>
      </c>
      <c r="F241" s="1">
        <v>0.85299999999999998</v>
      </c>
      <c r="G241" s="1">
        <v>-0.76400000000000001</v>
      </c>
      <c r="J241" s="1">
        <v>1.0629999999999999</v>
      </c>
      <c r="K241" s="1">
        <v>-0.20899999999999999</v>
      </c>
      <c r="O241" s="1">
        <v>1.01</v>
      </c>
      <c r="P241" s="1">
        <v>-3.1E-2</v>
      </c>
    </row>
    <row r="242" spans="1:16" x14ac:dyDescent="0.35">
      <c r="A242" s="1">
        <v>3.87</v>
      </c>
      <c r="B242" s="1">
        <v>-5.8120000000000003</v>
      </c>
      <c r="F242" s="1">
        <v>0.83299999999999996</v>
      </c>
      <c r="G242" s="1">
        <v>-0.86899999999999999</v>
      </c>
      <c r="J242" s="1">
        <v>1.056</v>
      </c>
      <c r="K242" s="1">
        <v>-0.38700000000000001</v>
      </c>
      <c r="O242" s="1">
        <v>1.0069999999999999</v>
      </c>
      <c r="P242" s="1">
        <v>-0.20899999999999999</v>
      </c>
    </row>
    <row r="243" spans="1:16" x14ac:dyDescent="0.35">
      <c r="A243" s="1">
        <v>3.7170000000000001</v>
      </c>
      <c r="B243" s="1">
        <v>-6.4610000000000003</v>
      </c>
      <c r="F243" s="1">
        <v>0.80900000000000005</v>
      </c>
      <c r="G243" s="1">
        <v>-0.97399999999999998</v>
      </c>
      <c r="J243" s="1">
        <v>1.0449999999999999</v>
      </c>
      <c r="K243" s="1">
        <v>-0.56499999999999995</v>
      </c>
      <c r="O243" s="1">
        <v>0.999</v>
      </c>
      <c r="P243" s="1">
        <v>-0.377</v>
      </c>
    </row>
    <row r="244" spans="1:16" x14ac:dyDescent="0.35">
      <c r="A244" s="1">
        <v>3.5470000000000002</v>
      </c>
      <c r="B244" s="1">
        <v>-7.09</v>
      </c>
      <c r="F244" s="1">
        <v>0.78400000000000003</v>
      </c>
      <c r="G244" s="1">
        <v>-1.0680000000000001</v>
      </c>
      <c r="J244" s="1">
        <v>1.0269999999999999</v>
      </c>
      <c r="K244" s="1">
        <v>-0.73299999999999998</v>
      </c>
      <c r="O244" s="1">
        <v>0.98799999999999999</v>
      </c>
      <c r="P244" s="1">
        <v>-0.53400000000000003</v>
      </c>
    </row>
    <row r="245" spans="1:16" x14ac:dyDescent="0.35">
      <c r="A245" s="1">
        <v>3.3620000000000001</v>
      </c>
      <c r="B245" s="1">
        <v>-7.6760000000000002</v>
      </c>
      <c r="F245" s="1">
        <v>0.75600000000000001</v>
      </c>
      <c r="G245" s="1">
        <v>-1.1619999999999999</v>
      </c>
      <c r="J245" s="1">
        <v>1.0069999999999999</v>
      </c>
      <c r="K245" s="1">
        <v>-0.89</v>
      </c>
      <c r="O245" s="1">
        <v>0.97199999999999998</v>
      </c>
      <c r="P245" s="1">
        <v>-0.68100000000000005</v>
      </c>
    </row>
    <row r="246" spans="1:16" x14ac:dyDescent="0.35">
      <c r="A246" s="1">
        <v>3.1619999999999999</v>
      </c>
      <c r="B246" s="1">
        <v>-8.2309999999999999</v>
      </c>
      <c r="F246" s="1">
        <v>0.72599999999999998</v>
      </c>
      <c r="G246" s="1">
        <v>-1.2569999999999999</v>
      </c>
      <c r="J246" s="1">
        <v>0.98299999999999998</v>
      </c>
      <c r="K246" s="1">
        <v>-1.0369999999999999</v>
      </c>
      <c r="O246" s="1">
        <v>0.95299999999999996</v>
      </c>
      <c r="P246" s="1">
        <v>-0.82699999999999996</v>
      </c>
    </row>
    <row r="247" spans="1:16" x14ac:dyDescent="0.35">
      <c r="A247" s="1">
        <v>2.95</v>
      </c>
      <c r="B247" s="1">
        <v>-8.7439999999999998</v>
      </c>
      <c r="F247" s="1">
        <v>0.69299999999999995</v>
      </c>
      <c r="G247" s="1">
        <v>-1.34</v>
      </c>
      <c r="J247" s="1">
        <v>0.95499999999999996</v>
      </c>
      <c r="K247" s="1">
        <v>-1.1830000000000001</v>
      </c>
      <c r="O247" s="1">
        <v>0.93100000000000005</v>
      </c>
      <c r="P247" s="1">
        <v>-0.96299999999999997</v>
      </c>
    </row>
    <row r="248" spans="1:16" x14ac:dyDescent="0.35">
      <c r="A248" s="1">
        <v>2.7240000000000002</v>
      </c>
      <c r="B248" s="1">
        <v>-9.2260000000000009</v>
      </c>
      <c r="F248" s="1">
        <v>0.65800000000000003</v>
      </c>
      <c r="G248" s="1">
        <v>-1.4139999999999999</v>
      </c>
      <c r="J248" s="1">
        <v>0.92400000000000004</v>
      </c>
      <c r="K248" s="1">
        <v>-1.319</v>
      </c>
      <c r="O248" s="1">
        <v>0.90500000000000003</v>
      </c>
      <c r="P248" s="1">
        <v>-1.1000000000000001</v>
      </c>
    </row>
    <row r="249" spans="1:16" x14ac:dyDescent="0.35">
      <c r="A249" s="1">
        <v>2.488</v>
      </c>
      <c r="B249" s="1">
        <v>-9.6760000000000002</v>
      </c>
      <c r="F249" s="1">
        <v>0.622</v>
      </c>
      <c r="G249" s="1">
        <v>-1.4770000000000001</v>
      </c>
      <c r="J249" s="1">
        <v>0.88900000000000001</v>
      </c>
      <c r="K249" s="1">
        <v>-1.4450000000000001</v>
      </c>
      <c r="O249" s="1">
        <v>0.877</v>
      </c>
      <c r="P249" s="1">
        <v>-1.236</v>
      </c>
    </row>
    <row r="250" spans="1:16" x14ac:dyDescent="0.35">
      <c r="A250" s="1">
        <v>2.2400000000000002</v>
      </c>
      <c r="B250" s="1">
        <v>-10.085000000000001</v>
      </c>
      <c r="F250" s="1">
        <v>0.58399999999999996</v>
      </c>
      <c r="G250" s="1">
        <v>-1.5389999999999999</v>
      </c>
      <c r="J250" s="1">
        <v>0.85099999999999998</v>
      </c>
      <c r="K250" s="1">
        <v>-1.571</v>
      </c>
      <c r="O250" s="1">
        <v>0.84399999999999997</v>
      </c>
      <c r="P250" s="1">
        <v>-1.361</v>
      </c>
    </row>
    <row r="251" spans="1:16" x14ac:dyDescent="0.35">
      <c r="A251" s="1">
        <v>1.982</v>
      </c>
      <c r="B251" s="1">
        <v>-10.441000000000001</v>
      </c>
      <c r="F251" s="1">
        <v>0.54500000000000004</v>
      </c>
      <c r="G251" s="1">
        <v>-1.5920000000000001</v>
      </c>
      <c r="J251" s="1">
        <v>0.81100000000000005</v>
      </c>
      <c r="K251" s="1">
        <v>-1.6859999999999999</v>
      </c>
      <c r="O251" s="1">
        <v>0.80700000000000005</v>
      </c>
      <c r="P251" s="1">
        <v>-1.4770000000000001</v>
      </c>
    </row>
    <row r="252" spans="1:16" x14ac:dyDescent="0.35">
      <c r="A252" s="1">
        <v>1.7170000000000001</v>
      </c>
      <c r="B252" s="1">
        <v>-10.734</v>
      </c>
      <c r="F252" s="1">
        <v>0.504</v>
      </c>
      <c r="G252" s="1">
        <v>-1.623</v>
      </c>
      <c r="J252" s="1">
        <v>0.76700000000000002</v>
      </c>
      <c r="K252" s="1">
        <v>-1.7909999999999999</v>
      </c>
      <c r="O252" s="1">
        <v>0.77</v>
      </c>
      <c r="P252" s="1">
        <v>-1.581</v>
      </c>
    </row>
    <row r="253" spans="1:16" x14ac:dyDescent="0.35">
      <c r="A253" s="1">
        <v>1.4450000000000001</v>
      </c>
      <c r="B253" s="1">
        <v>-10.996</v>
      </c>
      <c r="F253" s="1">
        <v>0.46300000000000002</v>
      </c>
      <c r="G253" s="1">
        <v>-1.6439999999999999</v>
      </c>
      <c r="J253" s="1">
        <v>0.72099999999999997</v>
      </c>
      <c r="K253" s="1">
        <v>-1.885</v>
      </c>
      <c r="O253" s="1">
        <v>0.72899999999999998</v>
      </c>
      <c r="P253" s="1">
        <v>-1.6859999999999999</v>
      </c>
    </row>
    <row r="254" spans="1:16" x14ac:dyDescent="0.35">
      <c r="A254" s="1">
        <v>1.167</v>
      </c>
      <c r="B254" s="1">
        <v>-11.215</v>
      </c>
      <c r="F254" s="1">
        <v>0.42299999999999999</v>
      </c>
      <c r="G254" s="1">
        <v>-1.6759999999999999</v>
      </c>
      <c r="J254" s="1">
        <v>0.67200000000000004</v>
      </c>
      <c r="K254" s="1">
        <v>-1.9690000000000001</v>
      </c>
      <c r="O254" s="1">
        <v>0.68500000000000005</v>
      </c>
      <c r="P254" s="1">
        <v>-1.78</v>
      </c>
    </row>
    <row r="255" spans="1:16" x14ac:dyDescent="0.35">
      <c r="A255" s="1">
        <v>0.88300000000000001</v>
      </c>
      <c r="B255" s="1">
        <v>-11.394</v>
      </c>
      <c r="F255" s="1">
        <v>0.38</v>
      </c>
      <c r="G255" s="1">
        <v>-1.7070000000000001</v>
      </c>
      <c r="J255" s="1">
        <v>0.622</v>
      </c>
      <c r="K255" s="1">
        <v>-2.0419999999999998</v>
      </c>
      <c r="O255" s="1">
        <v>0.63900000000000001</v>
      </c>
      <c r="P255" s="1">
        <v>-1.8540000000000001</v>
      </c>
    </row>
    <row r="256" spans="1:16" x14ac:dyDescent="0.35">
      <c r="A256" s="1">
        <v>0.59699999999999998</v>
      </c>
      <c r="B256" s="1">
        <v>-11.509</v>
      </c>
      <c r="F256" s="1">
        <v>0.33600000000000002</v>
      </c>
      <c r="G256" s="1">
        <v>-1.728</v>
      </c>
      <c r="J256" s="1">
        <v>0.56999999999999995</v>
      </c>
      <c r="K256" s="1">
        <v>-2.105</v>
      </c>
      <c r="O256" s="1">
        <v>0.59199999999999997</v>
      </c>
      <c r="P256" s="1">
        <v>-1.9159999999999999</v>
      </c>
    </row>
    <row r="257" spans="1:16" x14ac:dyDescent="0.35">
      <c r="A257" s="1">
        <v>0.30599999999999999</v>
      </c>
      <c r="B257" s="1">
        <v>-11.571999999999999</v>
      </c>
      <c r="F257" s="1">
        <v>0.29399999999999998</v>
      </c>
      <c r="G257" s="1">
        <v>-1.728</v>
      </c>
      <c r="J257" s="1">
        <v>0.51700000000000002</v>
      </c>
      <c r="K257" s="1">
        <v>-2.157</v>
      </c>
      <c r="O257" s="1">
        <v>0.54300000000000004</v>
      </c>
      <c r="P257" s="1">
        <v>-1.9690000000000001</v>
      </c>
    </row>
    <row r="258" spans="1:16" x14ac:dyDescent="0.35">
      <c r="A258" s="1">
        <v>1.7000000000000001E-2</v>
      </c>
      <c r="B258" s="1">
        <v>-11.582000000000001</v>
      </c>
      <c r="F258" s="1">
        <v>0.25</v>
      </c>
      <c r="G258" s="1">
        <v>-1.7170000000000001</v>
      </c>
      <c r="J258" s="1">
        <v>0.46200000000000002</v>
      </c>
      <c r="K258" s="1">
        <v>-2.1989999999999998</v>
      </c>
      <c r="O258" s="1">
        <v>0.49299999999999999</v>
      </c>
      <c r="P258" s="1">
        <v>-2.0209999999999999</v>
      </c>
    </row>
    <row r="259" spans="1:16" x14ac:dyDescent="0.35">
      <c r="F259" s="1">
        <v>0.20699999999999999</v>
      </c>
      <c r="G259" s="1">
        <v>-1.7070000000000001</v>
      </c>
      <c r="J259" s="1">
        <v>0.40699999999999997</v>
      </c>
      <c r="K259" s="1">
        <v>-2.2410000000000001</v>
      </c>
      <c r="O259" s="1">
        <v>0.443</v>
      </c>
      <c r="P259" s="1">
        <v>-2.073</v>
      </c>
    </row>
    <row r="260" spans="1:16" x14ac:dyDescent="0.35">
      <c r="F260" s="1">
        <v>0.16500000000000001</v>
      </c>
      <c r="G260" s="1">
        <v>-1.6859999999999999</v>
      </c>
      <c r="J260" s="1">
        <v>0.35</v>
      </c>
      <c r="K260" s="1">
        <v>-2.2719999999999998</v>
      </c>
      <c r="O260" s="1">
        <v>0.39</v>
      </c>
      <c r="P260" s="1">
        <v>-2.1150000000000002</v>
      </c>
    </row>
    <row r="261" spans="1:16" x14ac:dyDescent="0.35">
      <c r="F261" s="1">
        <v>0.123</v>
      </c>
      <c r="G261" s="1">
        <v>-1.655</v>
      </c>
      <c r="J261" s="1">
        <v>0.29199999999999998</v>
      </c>
      <c r="K261" s="1">
        <v>-2.2930000000000001</v>
      </c>
      <c r="O261" s="1">
        <v>0.33600000000000002</v>
      </c>
      <c r="P261" s="1">
        <v>-2.1360000000000001</v>
      </c>
    </row>
    <row r="262" spans="1:16" x14ac:dyDescent="0.35">
      <c r="F262" s="1">
        <v>8.2000000000000003E-2</v>
      </c>
      <c r="G262" s="1">
        <v>-1.613</v>
      </c>
      <c r="J262" s="1">
        <v>0.23599999999999999</v>
      </c>
      <c r="K262" s="1">
        <v>-2.2930000000000001</v>
      </c>
      <c r="O262" s="1">
        <v>0.28299999999999997</v>
      </c>
      <c r="P262" s="1">
        <v>-2.1469999999999998</v>
      </c>
    </row>
    <row r="263" spans="1:16" x14ac:dyDescent="0.35">
      <c r="F263" s="1">
        <v>4.2000000000000003E-2</v>
      </c>
      <c r="G263" s="1">
        <v>-1.571</v>
      </c>
      <c r="J263" s="1">
        <v>0.17799999999999999</v>
      </c>
      <c r="K263" s="1">
        <v>-2.2829999999999999</v>
      </c>
      <c r="O263" s="1">
        <v>0.22900000000000001</v>
      </c>
      <c r="P263" s="1">
        <v>-2.157</v>
      </c>
    </row>
    <row r="264" spans="1:16" x14ac:dyDescent="0.35">
      <c r="F264" s="1">
        <v>3.0000000000000001E-3</v>
      </c>
      <c r="G264" s="1">
        <v>-1.5389999999999999</v>
      </c>
      <c r="J264" s="1">
        <v>0.121</v>
      </c>
      <c r="K264" s="1">
        <v>-2.262</v>
      </c>
      <c r="O264" s="1">
        <v>0.17399999999999999</v>
      </c>
      <c r="P264" s="1">
        <v>-2.157</v>
      </c>
    </row>
    <row r="265" spans="1:16" x14ac:dyDescent="0.35">
      <c r="F265" s="1">
        <v>-3.5000000000000003E-2</v>
      </c>
      <c r="G265" s="1">
        <v>-1.4970000000000001</v>
      </c>
      <c r="J265" s="1">
        <v>6.4000000000000001E-2</v>
      </c>
      <c r="K265" s="1">
        <v>-2.2309999999999999</v>
      </c>
      <c r="O265" s="1">
        <v>0.121</v>
      </c>
      <c r="P265" s="1">
        <v>-2.1360000000000001</v>
      </c>
    </row>
    <row r="266" spans="1:16" x14ac:dyDescent="0.35">
      <c r="F266" s="1">
        <v>-7.1999999999999995E-2</v>
      </c>
      <c r="G266" s="1">
        <v>-1.4350000000000001</v>
      </c>
      <c r="J266" s="1">
        <v>8.9999999999999993E-3</v>
      </c>
      <c r="K266" s="1">
        <v>-2.1989999999999998</v>
      </c>
      <c r="O266" s="1">
        <v>6.8000000000000005E-2</v>
      </c>
      <c r="P266" s="1">
        <v>-2.0939999999999999</v>
      </c>
    </row>
    <row r="267" spans="1:16" x14ac:dyDescent="0.35">
      <c r="F267" s="1">
        <v>-0.107</v>
      </c>
      <c r="G267" s="1">
        <v>-1.3720000000000001</v>
      </c>
      <c r="J267" s="1">
        <v>-4.5999999999999999E-2</v>
      </c>
      <c r="K267" s="1">
        <v>-2.157</v>
      </c>
      <c r="O267" s="1">
        <v>1.6E-2</v>
      </c>
      <c r="P267" s="1">
        <v>-2.0529999999999999</v>
      </c>
    </row>
    <row r="268" spans="1:16" x14ac:dyDescent="0.35">
      <c r="F268" s="1">
        <v>-0.14000000000000001</v>
      </c>
      <c r="G268" s="1">
        <v>-1.3089999999999999</v>
      </c>
      <c r="J268" s="1">
        <v>-9.9000000000000005E-2</v>
      </c>
      <c r="K268" s="1">
        <v>-2.105</v>
      </c>
      <c r="O268" s="1">
        <v>-3.5000000000000003E-2</v>
      </c>
      <c r="P268" s="1">
        <v>-2.0209999999999999</v>
      </c>
    </row>
    <row r="269" spans="1:16" x14ac:dyDescent="0.35">
      <c r="F269" s="1">
        <v>-0.17299999999999999</v>
      </c>
      <c r="G269" s="1">
        <v>-1.246</v>
      </c>
      <c r="J269" s="1">
        <v>-0.151</v>
      </c>
      <c r="K269" s="1">
        <v>-2.0419999999999998</v>
      </c>
      <c r="O269" s="1">
        <v>-8.5000000000000006E-2</v>
      </c>
      <c r="P269" s="1">
        <v>-1.99</v>
      </c>
    </row>
    <row r="270" spans="1:16" x14ac:dyDescent="0.35">
      <c r="F270" s="1">
        <v>-0.20300000000000001</v>
      </c>
      <c r="G270" s="1">
        <v>-1.173</v>
      </c>
      <c r="J270" s="1">
        <v>-0.20100000000000001</v>
      </c>
      <c r="K270" s="1">
        <v>-1.9690000000000001</v>
      </c>
      <c r="O270" s="1">
        <v>-0.13500000000000001</v>
      </c>
      <c r="P270" s="1">
        <v>-1.9370000000000001</v>
      </c>
    </row>
    <row r="271" spans="1:16" x14ac:dyDescent="0.35">
      <c r="F271" s="1">
        <v>-0.23100000000000001</v>
      </c>
      <c r="G271" s="1">
        <v>-1.1000000000000001</v>
      </c>
      <c r="J271" s="1">
        <v>-0.25</v>
      </c>
      <c r="K271" s="1">
        <v>-1.895</v>
      </c>
      <c r="O271" s="1">
        <v>-0.182</v>
      </c>
      <c r="P271" s="1">
        <v>-1.8640000000000001</v>
      </c>
    </row>
    <row r="272" spans="1:16" x14ac:dyDescent="0.35">
      <c r="F272" s="1">
        <v>-0.25800000000000001</v>
      </c>
      <c r="G272" s="1">
        <v>-1.026</v>
      </c>
      <c r="J272" s="1">
        <v>-0.29499999999999998</v>
      </c>
      <c r="K272" s="1">
        <v>-1.8220000000000001</v>
      </c>
      <c r="O272" s="1">
        <v>-0.22800000000000001</v>
      </c>
      <c r="P272" s="1">
        <v>-1.78</v>
      </c>
    </row>
    <row r="273" spans="6:16" x14ac:dyDescent="0.35">
      <c r="F273" s="1">
        <v>-0.28299999999999997</v>
      </c>
      <c r="G273" s="1">
        <v>-0.94199999999999995</v>
      </c>
      <c r="J273" s="1">
        <v>-0.34100000000000003</v>
      </c>
      <c r="K273" s="1">
        <v>-1.738</v>
      </c>
      <c r="O273" s="1">
        <v>-0.27200000000000002</v>
      </c>
      <c r="P273" s="1">
        <v>-1.696</v>
      </c>
    </row>
    <row r="274" spans="6:16" x14ac:dyDescent="0.35">
      <c r="F274" s="1">
        <v>-0.30499999999999999</v>
      </c>
      <c r="G274" s="1">
        <v>-0.84799999999999998</v>
      </c>
      <c r="J274" s="1">
        <v>-0.38300000000000001</v>
      </c>
      <c r="K274" s="1">
        <v>-1.6439999999999999</v>
      </c>
      <c r="O274" s="1">
        <v>-0.313</v>
      </c>
      <c r="P274" s="1">
        <v>-1.613</v>
      </c>
    </row>
    <row r="275" spans="6:16" x14ac:dyDescent="0.35">
      <c r="F275" s="1">
        <v>-0.32500000000000001</v>
      </c>
      <c r="G275" s="1">
        <v>-0.754</v>
      </c>
      <c r="J275" s="1">
        <v>-0.42299999999999999</v>
      </c>
      <c r="K275" s="1">
        <v>-1.5289999999999999</v>
      </c>
      <c r="O275" s="1">
        <v>-0.35199999999999998</v>
      </c>
      <c r="P275" s="1">
        <v>-1.5289999999999999</v>
      </c>
    </row>
    <row r="276" spans="6:16" x14ac:dyDescent="0.35">
      <c r="F276" s="1">
        <v>-0.34200000000000003</v>
      </c>
      <c r="G276" s="1">
        <v>-0.66</v>
      </c>
      <c r="J276" s="1">
        <v>-0.46</v>
      </c>
      <c r="K276" s="1">
        <v>-1.4139999999999999</v>
      </c>
      <c r="O276" s="1">
        <v>-0.39</v>
      </c>
      <c r="P276" s="1">
        <v>-1.4450000000000001</v>
      </c>
    </row>
    <row r="277" spans="6:16" x14ac:dyDescent="0.35">
      <c r="F277" s="1">
        <v>-0.35799999999999998</v>
      </c>
      <c r="G277" s="1">
        <v>-0.56499999999999995</v>
      </c>
      <c r="J277" s="1">
        <v>-0.49299999999999999</v>
      </c>
      <c r="K277" s="1">
        <v>-1.3089999999999999</v>
      </c>
      <c r="O277" s="1">
        <v>-0.42399999999999999</v>
      </c>
      <c r="P277" s="1">
        <v>-1.351</v>
      </c>
    </row>
    <row r="278" spans="6:16" x14ac:dyDescent="0.35">
      <c r="F278" s="1">
        <v>-0.371</v>
      </c>
      <c r="G278" s="1">
        <v>-0.47099999999999997</v>
      </c>
      <c r="J278" s="1">
        <v>-0.52500000000000002</v>
      </c>
      <c r="K278" s="1">
        <v>-1.204</v>
      </c>
      <c r="O278" s="1">
        <v>-0.45700000000000002</v>
      </c>
      <c r="P278" s="1">
        <v>-1.246</v>
      </c>
    </row>
    <row r="279" spans="6:16" x14ac:dyDescent="0.35">
      <c r="F279" s="1">
        <v>-0.38200000000000001</v>
      </c>
      <c r="G279" s="1">
        <v>-0.377</v>
      </c>
      <c r="J279" s="1">
        <v>-0.55400000000000005</v>
      </c>
      <c r="K279" s="1">
        <v>-1.089</v>
      </c>
      <c r="O279" s="1">
        <v>-0.48699999999999999</v>
      </c>
      <c r="P279" s="1">
        <v>-1.131</v>
      </c>
    </row>
    <row r="280" spans="6:16" x14ac:dyDescent="0.35">
      <c r="F280" s="1">
        <v>-0.39</v>
      </c>
      <c r="G280" s="1">
        <v>-0.29299999999999998</v>
      </c>
      <c r="J280" s="1">
        <v>-0.57999999999999996</v>
      </c>
      <c r="K280" s="1">
        <v>-0.95299999999999996</v>
      </c>
      <c r="O280" s="1">
        <v>-0.51400000000000001</v>
      </c>
      <c r="P280" s="1">
        <v>-1.016</v>
      </c>
    </row>
    <row r="281" spans="6:16" x14ac:dyDescent="0.35">
      <c r="F281" s="1">
        <v>-0.39600000000000002</v>
      </c>
      <c r="G281" s="1">
        <v>-0.19900000000000001</v>
      </c>
      <c r="J281" s="1">
        <v>-0.60199999999999998</v>
      </c>
      <c r="K281" s="1">
        <v>-0.81699999999999995</v>
      </c>
      <c r="O281" s="1">
        <v>-0.53700000000000003</v>
      </c>
      <c r="P281" s="1">
        <v>-0.90100000000000002</v>
      </c>
    </row>
    <row r="282" spans="6:16" x14ac:dyDescent="0.35">
      <c r="F282" s="1">
        <v>-0.40100000000000002</v>
      </c>
      <c r="G282" s="1">
        <v>-0.105</v>
      </c>
      <c r="J282" s="1">
        <v>-0.62</v>
      </c>
      <c r="K282" s="1">
        <v>-0.70199999999999996</v>
      </c>
      <c r="O282" s="1">
        <v>-0.55900000000000005</v>
      </c>
      <c r="P282" s="1">
        <v>-0.78500000000000003</v>
      </c>
    </row>
    <row r="283" spans="6:16" x14ac:dyDescent="0.35">
      <c r="F283" s="1">
        <v>-0.40100000000000002</v>
      </c>
      <c r="G283" s="1">
        <v>-0.01</v>
      </c>
      <c r="J283" s="1">
        <v>-0.63600000000000001</v>
      </c>
      <c r="K283" s="1">
        <v>-0.58599999999999997</v>
      </c>
      <c r="O283" s="1">
        <v>-0.57599999999999996</v>
      </c>
      <c r="P283" s="1">
        <v>-0.67</v>
      </c>
    </row>
    <row r="284" spans="6:16" x14ac:dyDescent="0.35">
      <c r="F284" s="1">
        <v>-0.40100000000000002</v>
      </c>
      <c r="G284" s="1">
        <v>7.2999999999999995E-2</v>
      </c>
      <c r="J284" s="1">
        <v>-0.65</v>
      </c>
      <c r="K284" s="1">
        <v>-0.46100000000000002</v>
      </c>
      <c r="O284" s="1">
        <v>-0.59199999999999997</v>
      </c>
      <c r="P284" s="1">
        <v>-0.55500000000000005</v>
      </c>
    </row>
    <row r="285" spans="6:16" x14ac:dyDescent="0.35">
      <c r="F285" s="1">
        <v>-0.39700000000000002</v>
      </c>
      <c r="G285" s="1">
        <v>0.14699999999999999</v>
      </c>
      <c r="J285" s="1">
        <v>-0.66</v>
      </c>
      <c r="K285" s="1">
        <v>-0.32500000000000001</v>
      </c>
      <c r="O285" s="1">
        <v>-0.60499999999999998</v>
      </c>
      <c r="P285" s="1">
        <v>-0.44</v>
      </c>
    </row>
    <row r="286" spans="6:16" x14ac:dyDescent="0.35">
      <c r="F286" s="1">
        <v>-0.39300000000000002</v>
      </c>
      <c r="G286" s="1">
        <v>0.23</v>
      </c>
      <c r="J286" s="1">
        <v>-0.66600000000000004</v>
      </c>
      <c r="K286" s="1">
        <v>-0.188</v>
      </c>
      <c r="O286" s="1">
        <v>-0.61399999999999999</v>
      </c>
      <c r="P286" s="1">
        <v>-0.314</v>
      </c>
    </row>
    <row r="287" spans="6:16" x14ac:dyDescent="0.35">
      <c r="F287" s="1">
        <v>-0.38600000000000001</v>
      </c>
      <c r="G287" s="1">
        <v>0.30399999999999999</v>
      </c>
      <c r="J287" s="1">
        <v>-0.66900000000000004</v>
      </c>
      <c r="K287" s="1">
        <v>-7.2999999999999995E-2</v>
      </c>
      <c r="O287" s="1">
        <v>-0.62</v>
      </c>
      <c r="P287" s="1">
        <v>-0.188</v>
      </c>
    </row>
    <row r="288" spans="6:16" x14ac:dyDescent="0.35">
      <c r="F288" s="1">
        <v>-0.377</v>
      </c>
      <c r="G288" s="1">
        <v>0.36699999999999999</v>
      </c>
      <c r="J288" s="1">
        <v>-0.66900000000000004</v>
      </c>
      <c r="K288" s="1">
        <v>4.2000000000000003E-2</v>
      </c>
      <c r="O288" s="1">
        <v>-0.624</v>
      </c>
      <c r="P288" s="1">
        <v>-8.4000000000000005E-2</v>
      </c>
    </row>
    <row r="289" spans="2:16" x14ac:dyDescent="0.35">
      <c r="F289" s="1">
        <v>-0.36799999999999999</v>
      </c>
      <c r="G289" s="1">
        <v>0.41899999999999998</v>
      </c>
      <c r="J289" s="1">
        <v>-0.66800000000000004</v>
      </c>
      <c r="K289" s="1">
        <v>0.157</v>
      </c>
      <c r="O289" s="1">
        <v>-0.624</v>
      </c>
      <c r="P289" s="1">
        <v>2.1000000000000001E-2</v>
      </c>
    </row>
    <row r="290" spans="2:16" x14ac:dyDescent="0.35">
      <c r="F290" s="1">
        <v>-0.35699999999999998</v>
      </c>
      <c r="G290" s="1">
        <v>0.48199999999999998</v>
      </c>
      <c r="J290" s="1">
        <v>-0.66100000000000003</v>
      </c>
      <c r="K290" s="1">
        <v>0.27200000000000002</v>
      </c>
      <c r="O290" s="1">
        <v>-0.624</v>
      </c>
      <c r="P290" s="1">
        <v>0.126</v>
      </c>
    </row>
    <row r="291" spans="2:16" x14ac:dyDescent="0.35">
      <c r="F291" s="1">
        <v>-0.34399999999999997</v>
      </c>
      <c r="G291" s="1">
        <v>0.55500000000000005</v>
      </c>
      <c r="J291" s="1">
        <v>-0.65300000000000002</v>
      </c>
      <c r="K291" s="1">
        <v>0.377</v>
      </c>
      <c r="O291" s="1">
        <v>-0.61699999999999999</v>
      </c>
      <c r="P291" s="1">
        <v>0.24099999999999999</v>
      </c>
    </row>
    <row r="292" spans="2:16" x14ac:dyDescent="0.35">
      <c r="F292" s="1">
        <v>-0.32800000000000001</v>
      </c>
      <c r="G292" s="1">
        <v>0.61799999999999999</v>
      </c>
      <c r="J292" s="1">
        <v>-0.64200000000000002</v>
      </c>
      <c r="K292" s="1">
        <v>0.47099999999999997</v>
      </c>
      <c r="O292" s="1">
        <v>-0.61099999999999999</v>
      </c>
      <c r="P292" s="1">
        <v>0.34599999999999997</v>
      </c>
    </row>
    <row r="293" spans="2:16" x14ac:dyDescent="0.35">
      <c r="F293" s="1">
        <v>-0.313</v>
      </c>
      <c r="G293" s="1">
        <v>0.66</v>
      </c>
      <c r="J293" s="1">
        <v>-0.63</v>
      </c>
      <c r="K293" s="1">
        <v>0.56499999999999995</v>
      </c>
      <c r="O293" s="1">
        <v>-0.6</v>
      </c>
      <c r="P293" s="1">
        <v>0.42899999999999999</v>
      </c>
    </row>
    <row r="294" spans="2:16" x14ac:dyDescent="0.35">
      <c r="F294" s="1">
        <v>-0.29499999999999998</v>
      </c>
      <c r="G294" s="1">
        <v>0.69099999999999995</v>
      </c>
      <c r="J294" s="1">
        <v>-0.61399999999999999</v>
      </c>
      <c r="K294" s="1">
        <v>0.64900000000000002</v>
      </c>
      <c r="O294" s="1">
        <v>-0.58899999999999997</v>
      </c>
      <c r="P294" s="1">
        <v>0.52400000000000002</v>
      </c>
    </row>
    <row r="295" spans="2:16" x14ac:dyDescent="0.35">
      <c r="F295" s="1">
        <v>-0.27800000000000002</v>
      </c>
      <c r="G295" s="1">
        <v>0.73299999999999998</v>
      </c>
      <c r="J295" s="1">
        <v>-0.59699999999999998</v>
      </c>
      <c r="K295" s="1">
        <v>0.73299999999999998</v>
      </c>
      <c r="O295" s="1">
        <v>-0.57499999999999996</v>
      </c>
      <c r="P295" s="1">
        <v>0.61799999999999999</v>
      </c>
    </row>
    <row r="296" spans="2:16" x14ac:dyDescent="0.35">
      <c r="F296" s="1">
        <v>-0.25900000000000001</v>
      </c>
      <c r="G296" s="1">
        <v>0.77500000000000002</v>
      </c>
      <c r="J296" s="1">
        <v>-0.57799999999999996</v>
      </c>
      <c r="K296" s="1">
        <v>0.80600000000000005</v>
      </c>
      <c r="O296" s="1">
        <v>-0.55800000000000005</v>
      </c>
      <c r="P296" s="1">
        <v>0.70199999999999996</v>
      </c>
    </row>
    <row r="297" spans="2:16" x14ac:dyDescent="0.35">
      <c r="F297" s="1">
        <v>-0.23899999999999999</v>
      </c>
      <c r="G297" s="1">
        <v>0.81699999999999995</v>
      </c>
      <c r="J297" s="1">
        <v>-0.55600000000000005</v>
      </c>
      <c r="K297" s="1">
        <v>0.88</v>
      </c>
      <c r="O297" s="1">
        <v>-0.53900000000000003</v>
      </c>
      <c r="P297" s="1">
        <v>0.76400000000000001</v>
      </c>
    </row>
    <row r="298" spans="2:16" x14ac:dyDescent="0.35">
      <c r="B298" s="2"/>
      <c r="F298" s="1">
        <v>-0.218</v>
      </c>
      <c r="G298" s="1">
        <v>0.83799999999999997</v>
      </c>
      <c r="J298" s="1">
        <v>-0.53400000000000003</v>
      </c>
      <c r="K298" s="1">
        <v>0.95299999999999996</v>
      </c>
      <c r="O298" s="1">
        <v>-0.52</v>
      </c>
      <c r="P298" s="1">
        <v>0.82699999999999996</v>
      </c>
    </row>
    <row r="299" spans="2:16" x14ac:dyDescent="0.35">
      <c r="F299" s="1">
        <v>-0.19600000000000001</v>
      </c>
      <c r="G299" s="1">
        <v>0.84799999999999998</v>
      </c>
      <c r="J299" s="1">
        <v>-0.50900000000000001</v>
      </c>
      <c r="K299" s="1">
        <v>1.026</v>
      </c>
      <c r="O299" s="1">
        <v>-0.498</v>
      </c>
      <c r="P299" s="1">
        <v>0.90100000000000002</v>
      </c>
    </row>
    <row r="300" spans="2:16" x14ac:dyDescent="0.35">
      <c r="F300" s="1">
        <v>-0.17599999999999999</v>
      </c>
      <c r="G300" s="1">
        <v>0.85899999999999999</v>
      </c>
      <c r="J300" s="1">
        <v>-0.48199999999999998</v>
      </c>
      <c r="K300" s="1">
        <v>1.089</v>
      </c>
      <c r="O300" s="1">
        <v>-0.47399999999999998</v>
      </c>
      <c r="P300" s="1">
        <v>0.97399999999999998</v>
      </c>
    </row>
    <row r="301" spans="2:16" x14ac:dyDescent="0.35">
      <c r="F301" s="1">
        <v>-0.154</v>
      </c>
      <c r="G301" s="1">
        <v>0.88</v>
      </c>
      <c r="J301" s="1">
        <v>-0.45400000000000001</v>
      </c>
      <c r="K301" s="1">
        <v>1.131</v>
      </c>
      <c r="O301" s="1">
        <v>-0.44900000000000001</v>
      </c>
      <c r="P301" s="1">
        <v>1.0369999999999999</v>
      </c>
    </row>
    <row r="302" spans="2:16" x14ac:dyDescent="0.35">
      <c r="F302" s="1">
        <v>-0.13200000000000001</v>
      </c>
      <c r="G302" s="1">
        <v>0.90100000000000002</v>
      </c>
      <c r="J302" s="1">
        <v>-0.42599999999999999</v>
      </c>
      <c r="K302" s="1">
        <v>1.173</v>
      </c>
      <c r="O302" s="1">
        <v>-0.42299999999999999</v>
      </c>
      <c r="P302" s="1">
        <v>1.089</v>
      </c>
    </row>
    <row r="303" spans="2:16" x14ac:dyDescent="0.35">
      <c r="F303" s="1">
        <v>-0.108</v>
      </c>
      <c r="G303" s="1">
        <v>0.91100000000000003</v>
      </c>
      <c r="J303" s="1">
        <v>-0.39600000000000002</v>
      </c>
      <c r="K303" s="1">
        <v>1.2250000000000001</v>
      </c>
      <c r="O303" s="1">
        <v>-0.39400000000000002</v>
      </c>
      <c r="P303" s="1">
        <v>1.131</v>
      </c>
    </row>
    <row r="304" spans="2:16" x14ac:dyDescent="0.35">
      <c r="F304" s="1">
        <v>-8.5999999999999993E-2</v>
      </c>
      <c r="G304" s="1">
        <v>0.92200000000000004</v>
      </c>
      <c r="J304" s="1">
        <v>-0.36399999999999999</v>
      </c>
      <c r="K304" s="1">
        <v>1.2669999999999999</v>
      </c>
      <c r="O304" s="1">
        <v>-0.36599999999999999</v>
      </c>
      <c r="P304" s="1">
        <v>1.1619999999999999</v>
      </c>
    </row>
    <row r="305" spans="6:16" x14ac:dyDescent="0.35">
      <c r="F305" s="1">
        <v>-6.3E-2</v>
      </c>
      <c r="G305" s="1">
        <v>0.92200000000000004</v>
      </c>
      <c r="J305" s="1">
        <v>-0.33100000000000002</v>
      </c>
      <c r="K305" s="1">
        <v>1.288</v>
      </c>
      <c r="O305" s="1">
        <v>-0.33600000000000002</v>
      </c>
      <c r="P305" s="1">
        <v>1.1830000000000001</v>
      </c>
    </row>
    <row r="306" spans="6:16" x14ac:dyDescent="0.35">
      <c r="F306" s="1">
        <v>-3.9E-2</v>
      </c>
      <c r="G306" s="1">
        <v>0.92200000000000004</v>
      </c>
      <c r="J306" s="1">
        <v>-0.3</v>
      </c>
      <c r="K306" s="1">
        <v>1.2989999999999999</v>
      </c>
      <c r="O306" s="1">
        <v>-0.30599999999999999</v>
      </c>
      <c r="P306" s="1">
        <v>1.204</v>
      </c>
    </row>
    <row r="307" spans="6:16" x14ac:dyDescent="0.35">
      <c r="F307" s="1">
        <v>-1.7000000000000001E-2</v>
      </c>
      <c r="G307" s="1">
        <v>0.91100000000000003</v>
      </c>
      <c r="J307" s="1">
        <v>-0.26700000000000002</v>
      </c>
      <c r="K307" s="1">
        <v>1.3089999999999999</v>
      </c>
      <c r="O307" s="1">
        <v>-0.27600000000000002</v>
      </c>
      <c r="P307" s="1">
        <v>1.2250000000000001</v>
      </c>
    </row>
    <row r="308" spans="6:16" x14ac:dyDescent="0.35">
      <c r="F308" s="1">
        <v>6.0000000000000001E-3</v>
      </c>
      <c r="G308" s="1">
        <v>0.90100000000000002</v>
      </c>
      <c r="J308" s="1">
        <v>-0.23400000000000001</v>
      </c>
      <c r="K308" s="1">
        <v>1.319</v>
      </c>
      <c r="O308" s="1">
        <v>-0.245</v>
      </c>
      <c r="P308" s="1">
        <v>1.246</v>
      </c>
    </row>
    <row r="309" spans="6:16" x14ac:dyDescent="0.35">
      <c r="F309" s="1">
        <v>2.8000000000000001E-2</v>
      </c>
      <c r="G309" s="1">
        <v>0.89</v>
      </c>
      <c r="J309" s="1">
        <v>-0.20100000000000001</v>
      </c>
      <c r="K309" s="1">
        <v>1.319</v>
      </c>
      <c r="O309" s="1">
        <v>-0.214</v>
      </c>
      <c r="P309" s="1">
        <v>1.2569999999999999</v>
      </c>
    </row>
    <row r="310" spans="6:16" x14ac:dyDescent="0.35">
      <c r="F310" s="1">
        <v>0.05</v>
      </c>
      <c r="G310" s="1">
        <v>0.86899999999999999</v>
      </c>
      <c r="J310" s="1">
        <v>-0.16800000000000001</v>
      </c>
      <c r="K310" s="1">
        <v>1.319</v>
      </c>
      <c r="O310" s="1">
        <v>-0.182</v>
      </c>
      <c r="P310" s="1">
        <v>1.2569999999999999</v>
      </c>
    </row>
    <row r="311" spans="6:16" x14ac:dyDescent="0.35">
      <c r="F311" s="1">
        <v>7.1999999999999995E-2</v>
      </c>
      <c r="G311" s="1">
        <v>0.84799999999999998</v>
      </c>
      <c r="J311" s="1">
        <v>-0.13500000000000001</v>
      </c>
      <c r="K311" s="1">
        <v>1.319</v>
      </c>
      <c r="O311" s="1">
        <v>-0.151</v>
      </c>
      <c r="P311" s="1">
        <v>1.2569999999999999</v>
      </c>
    </row>
    <row r="312" spans="6:16" x14ac:dyDescent="0.35">
      <c r="F312" s="1">
        <v>9.2999999999999999E-2</v>
      </c>
      <c r="G312" s="1">
        <v>0.82699999999999996</v>
      </c>
      <c r="J312" s="1">
        <v>-0.10199999999999999</v>
      </c>
      <c r="K312" s="1">
        <v>1.319</v>
      </c>
      <c r="O312" s="1">
        <v>-0.11899999999999999</v>
      </c>
      <c r="P312" s="1">
        <v>1.246</v>
      </c>
    </row>
    <row r="313" spans="6:16" x14ac:dyDescent="0.35">
      <c r="F313" s="1">
        <v>0.113</v>
      </c>
      <c r="G313" s="1">
        <v>0.80600000000000005</v>
      </c>
      <c r="J313" s="1">
        <v>-6.9000000000000006E-2</v>
      </c>
      <c r="K313" s="1">
        <v>1.3089999999999999</v>
      </c>
      <c r="O313" s="1">
        <v>-8.7999999999999995E-2</v>
      </c>
      <c r="P313" s="1">
        <v>1.2250000000000001</v>
      </c>
    </row>
    <row r="314" spans="6:16" x14ac:dyDescent="0.35">
      <c r="F314" s="1">
        <v>0.13400000000000001</v>
      </c>
      <c r="G314" s="1">
        <v>0.78500000000000003</v>
      </c>
      <c r="J314" s="1">
        <v>-3.5999999999999997E-2</v>
      </c>
      <c r="K314" s="1">
        <v>1.278</v>
      </c>
      <c r="O314" s="1">
        <v>-5.8000000000000003E-2</v>
      </c>
      <c r="P314" s="1">
        <v>1.204</v>
      </c>
    </row>
    <row r="315" spans="6:16" x14ac:dyDescent="0.35">
      <c r="F315" s="1">
        <v>0.152</v>
      </c>
      <c r="G315" s="1">
        <v>0.754</v>
      </c>
      <c r="J315" s="1">
        <v>-5.0000000000000001E-3</v>
      </c>
      <c r="K315" s="1">
        <v>1.236</v>
      </c>
      <c r="O315" s="1">
        <v>-2.8000000000000001E-2</v>
      </c>
      <c r="P315" s="1">
        <v>1.1830000000000001</v>
      </c>
    </row>
    <row r="316" spans="6:16" x14ac:dyDescent="0.35">
      <c r="F316" s="1">
        <v>0.17100000000000001</v>
      </c>
      <c r="G316" s="1">
        <v>0.72299999999999998</v>
      </c>
      <c r="J316" s="1">
        <v>2.5000000000000001E-2</v>
      </c>
      <c r="K316" s="1">
        <v>1.194</v>
      </c>
      <c r="O316" s="1">
        <v>2E-3</v>
      </c>
      <c r="P316" s="1">
        <v>1.1619999999999999</v>
      </c>
    </row>
    <row r="317" spans="6:16" x14ac:dyDescent="0.35">
      <c r="F317" s="1">
        <v>0.188</v>
      </c>
      <c r="G317" s="1">
        <v>0.68100000000000005</v>
      </c>
      <c r="J317" s="1">
        <v>5.5E-2</v>
      </c>
      <c r="K317" s="1">
        <v>1.1619999999999999</v>
      </c>
      <c r="O317" s="1">
        <v>0.03</v>
      </c>
      <c r="P317" s="1">
        <v>1.131</v>
      </c>
    </row>
    <row r="318" spans="6:16" x14ac:dyDescent="0.35">
      <c r="F318" s="1">
        <v>0.20599999999999999</v>
      </c>
      <c r="G318" s="1">
        <v>0.628</v>
      </c>
      <c r="J318" s="1">
        <v>8.3000000000000004E-2</v>
      </c>
      <c r="K318" s="1">
        <v>1.131</v>
      </c>
      <c r="O318" s="1">
        <v>5.8000000000000003E-2</v>
      </c>
      <c r="P318" s="1">
        <v>1.1000000000000001</v>
      </c>
    </row>
    <row r="319" spans="6:16" x14ac:dyDescent="0.35">
      <c r="F319" s="1">
        <v>0.22</v>
      </c>
      <c r="G319" s="1">
        <v>0.58599999999999997</v>
      </c>
      <c r="J319" s="1">
        <v>0.112</v>
      </c>
      <c r="K319" s="1">
        <v>1.089</v>
      </c>
      <c r="O319" s="1">
        <v>8.5000000000000006E-2</v>
      </c>
      <c r="P319" s="1">
        <v>1.0580000000000001</v>
      </c>
    </row>
    <row r="320" spans="6:16" x14ac:dyDescent="0.35">
      <c r="F320" s="1">
        <v>0.23400000000000001</v>
      </c>
      <c r="G320" s="1">
        <v>0.54500000000000004</v>
      </c>
      <c r="J320" s="1">
        <v>0.13800000000000001</v>
      </c>
      <c r="K320" s="1">
        <v>1.0369999999999999</v>
      </c>
      <c r="O320" s="1">
        <v>0.112</v>
      </c>
      <c r="P320" s="1">
        <v>1.0049999999999999</v>
      </c>
    </row>
    <row r="321" spans="6:16" x14ac:dyDescent="0.35">
      <c r="F321" s="1">
        <v>0.248</v>
      </c>
      <c r="G321" s="1">
        <v>0.503</v>
      </c>
      <c r="J321" s="1">
        <v>0.16300000000000001</v>
      </c>
      <c r="K321" s="1">
        <v>0.97399999999999998</v>
      </c>
      <c r="O321" s="1">
        <v>0.13500000000000001</v>
      </c>
      <c r="P321" s="1">
        <v>0.95299999999999996</v>
      </c>
    </row>
    <row r="322" spans="6:16" x14ac:dyDescent="0.35">
      <c r="J322" s="1">
        <v>0.187</v>
      </c>
      <c r="K322" s="1">
        <v>0.91100000000000003</v>
      </c>
      <c r="O322" s="1">
        <v>0.159</v>
      </c>
      <c r="P322" s="1">
        <v>0.90100000000000002</v>
      </c>
    </row>
    <row r="323" spans="6:16" x14ac:dyDescent="0.35">
      <c r="O323" s="1">
        <v>0.18099999999999999</v>
      </c>
      <c r="P323" s="1">
        <v>0.84799999999999998</v>
      </c>
    </row>
    <row r="324" spans="6:16" x14ac:dyDescent="0.35">
      <c r="O324" s="1">
        <v>0.20100000000000001</v>
      </c>
      <c r="P324" s="1">
        <v>0.78500000000000003</v>
      </c>
    </row>
    <row r="325" spans="6:16" x14ac:dyDescent="0.35">
      <c r="O325" s="1">
        <v>0.22</v>
      </c>
      <c r="P325" s="1">
        <v>0.73299999999999998</v>
      </c>
    </row>
    <row r="326" spans="6:16" x14ac:dyDescent="0.35">
      <c r="O326" s="1">
        <v>0.23699999999999999</v>
      </c>
      <c r="P326" s="1">
        <v>0.68100000000000005</v>
      </c>
    </row>
    <row r="327" spans="6:16" x14ac:dyDescent="0.35">
      <c r="O327" s="1">
        <v>0.254</v>
      </c>
      <c r="P327" s="1">
        <v>0.61799999999999999</v>
      </c>
    </row>
    <row r="328" spans="6:16" x14ac:dyDescent="0.35">
      <c r="O328" s="1">
        <v>0.26900000000000002</v>
      </c>
      <c r="P328" s="1">
        <v>0.54500000000000004</v>
      </c>
    </row>
    <row r="329" spans="6:16" x14ac:dyDescent="0.35">
      <c r="O329" s="1">
        <v>0.28100000000000003</v>
      </c>
      <c r="P329" s="1">
        <v>0.46100000000000002</v>
      </c>
    </row>
    <row r="330" spans="6:16" x14ac:dyDescent="0.35">
      <c r="O330" s="1">
        <v>0.29199999999999998</v>
      </c>
      <c r="P330" s="1">
        <v>0.38700000000000001</v>
      </c>
    </row>
    <row r="331" spans="6:16" x14ac:dyDescent="0.35">
      <c r="O331" s="1">
        <v>0.3</v>
      </c>
      <c r="P331" s="1">
        <v>0.314</v>
      </c>
    </row>
    <row r="332" spans="6:16" x14ac:dyDescent="0.35">
      <c r="O332" s="1">
        <v>0.308</v>
      </c>
      <c r="P332" s="1">
        <v>0.251</v>
      </c>
    </row>
    <row r="333" spans="6:16" x14ac:dyDescent="0.35">
      <c r="O333" s="1">
        <v>0.313</v>
      </c>
      <c r="P333" s="1">
        <v>0.188</v>
      </c>
    </row>
    <row r="334" spans="6:16" x14ac:dyDescent="0.35">
      <c r="O334" s="1">
        <v>0.317</v>
      </c>
      <c r="P334" s="1">
        <v>0.115</v>
      </c>
    </row>
    <row r="335" spans="6:16" x14ac:dyDescent="0.35">
      <c r="O335" s="1">
        <v>0.31900000000000001</v>
      </c>
      <c r="P335" s="1">
        <v>5.1999999999999998E-2</v>
      </c>
    </row>
    <row r="336" spans="6:16" x14ac:dyDescent="0.35">
      <c r="O336" s="1">
        <v>0.31900000000000001</v>
      </c>
      <c r="P336" s="1">
        <v>0</v>
      </c>
    </row>
    <row r="337" spans="15:16" x14ac:dyDescent="0.35">
      <c r="O337" s="1">
        <v>0.31900000000000001</v>
      </c>
      <c r="P337" s="1">
        <v>-5.1999999999999998E-2</v>
      </c>
    </row>
    <row r="338" spans="15:16" x14ac:dyDescent="0.35">
      <c r="O338" s="1">
        <v>0.317</v>
      </c>
      <c r="P338" s="1">
        <v>-0.115</v>
      </c>
    </row>
    <row r="339" spans="15:16" x14ac:dyDescent="0.35">
      <c r="O339" s="1">
        <v>0.313</v>
      </c>
      <c r="P339" s="1">
        <v>-0.17799999999999999</v>
      </c>
    </row>
    <row r="340" spans="15:16" x14ac:dyDescent="0.35">
      <c r="O340" s="1">
        <v>0.308</v>
      </c>
      <c r="P340" s="1">
        <v>-0.22</v>
      </c>
    </row>
    <row r="341" spans="15:16" x14ac:dyDescent="0.35">
      <c r="O341" s="1">
        <v>0.30199999999999999</v>
      </c>
      <c r="P341" s="1">
        <v>-0.251</v>
      </c>
    </row>
    <row r="342" spans="15:16" x14ac:dyDescent="0.35">
      <c r="O342" s="1">
        <v>0.29499999999999998</v>
      </c>
      <c r="P342" s="1">
        <v>-0.29299999999999998</v>
      </c>
    </row>
    <row r="343" spans="15:16" x14ac:dyDescent="0.35">
      <c r="O343" s="1">
        <v>0.28699999999999998</v>
      </c>
      <c r="P343" s="1">
        <v>-0.34599999999999997</v>
      </c>
    </row>
    <row r="344" spans="15:16" x14ac:dyDescent="0.35">
      <c r="O344" s="1">
        <v>0.27800000000000002</v>
      </c>
      <c r="P344" s="1">
        <v>-0.39800000000000002</v>
      </c>
    </row>
    <row r="345" spans="15:16" x14ac:dyDescent="0.35">
      <c r="O345" s="1">
        <v>0.26700000000000002</v>
      </c>
      <c r="P345" s="1">
        <v>-0.42899999999999999</v>
      </c>
    </row>
    <row r="346" spans="15:16" x14ac:dyDescent="0.35">
      <c r="O346" s="1">
        <v>0.25600000000000001</v>
      </c>
      <c r="P346" s="1">
        <v>-0.45</v>
      </c>
    </row>
    <row r="347" spans="15:16" x14ac:dyDescent="0.35">
      <c r="O347" s="1">
        <v>0.245</v>
      </c>
      <c r="P347" s="1">
        <v>-0.48199999999999998</v>
      </c>
    </row>
    <row r="348" spans="15:16" x14ac:dyDescent="0.35">
      <c r="O348" s="1">
        <v>0.23200000000000001</v>
      </c>
      <c r="P348" s="1">
        <v>-0.51300000000000001</v>
      </c>
    </row>
    <row r="349" spans="15:16" x14ac:dyDescent="0.35">
      <c r="O349" s="1">
        <v>0.218</v>
      </c>
      <c r="P349" s="1">
        <v>-0.53400000000000003</v>
      </c>
    </row>
    <row r="350" spans="15:16" x14ac:dyDescent="0.35">
      <c r="O350" s="1">
        <v>0.20599999999999999</v>
      </c>
      <c r="P350" s="1">
        <v>-0.55500000000000005</v>
      </c>
    </row>
    <row r="351" spans="15:16" x14ac:dyDescent="0.35">
      <c r="O351" s="1">
        <v>0.192</v>
      </c>
      <c r="P351" s="1">
        <v>-0.58599999999999997</v>
      </c>
    </row>
    <row r="352" spans="15:16" x14ac:dyDescent="0.35">
      <c r="O352" s="1">
        <v>0.17599999999999999</v>
      </c>
      <c r="P352" s="1">
        <v>-0.60699999999999998</v>
      </c>
    </row>
    <row r="353" spans="15:16" x14ac:dyDescent="0.35">
      <c r="O353" s="1">
        <v>0.16</v>
      </c>
      <c r="P353" s="1">
        <v>-0.60699999999999998</v>
      </c>
    </row>
    <row r="354" spans="15:16" x14ac:dyDescent="0.35">
      <c r="O354" s="1">
        <v>0.14599999999999999</v>
      </c>
      <c r="P354" s="1">
        <v>-0.60699999999999998</v>
      </c>
    </row>
    <row r="355" spans="15:16" x14ac:dyDescent="0.35">
      <c r="O355" s="1">
        <v>0.13</v>
      </c>
      <c r="P355" s="1">
        <v>-0.628</v>
      </c>
    </row>
    <row r="356" spans="15:16" x14ac:dyDescent="0.35">
      <c r="O356" s="1">
        <v>0.115</v>
      </c>
      <c r="P356" s="1">
        <v>-0.64900000000000002</v>
      </c>
    </row>
    <row r="357" spans="15:16" x14ac:dyDescent="0.35">
      <c r="O357" s="1">
        <v>9.7000000000000003E-2</v>
      </c>
      <c r="P357" s="1">
        <v>-0.64900000000000002</v>
      </c>
    </row>
    <row r="358" spans="15:16" x14ac:dyDescent="0.35">
      <c r="O358" s="1">
        <v>8.2000000000000003E-2</v>
      </c>
      <c r="P358" s="1">
        <v>-0.63900000000000001</v>
      </c>
    </row>
    <row r="359" spans="15:16" x14ac:dyDescent="0.35">
      <c r="O359" s="1">
        <v>6.6000000000000003E-2</v>
      </c>
      <c r="P359" s="1">
        <v>-0.628</v>
      </c>
    </row>
    <row r="360" spans="15:16" x14ac:dyDescent="0.35">
      <c r="O360" s="1">
        <v>0.05</v>
      </c>
      <c r="P360" s="1">
        <v>-0.61799999999999999</v>
      </c>
    </row>
    <row r="361" spans="15:16" x14ac:dyDescent="0.35">
      <c r="O361" s="1">
        <v>3.5000000000000003E-2</v>
      </c>
      <c r="P361" s="1">
        <v>-0.60699999999999998</v>
      </c>
    </row>
    <row r="362" spans="15:16" x14ac:dyDescent="0.35">
      <c r="O362" s="1">
        <v>0.02</v>
      </c>
      <c r="P362" s="1">
        <v>-0.59699999999999998</v>
      </c>
    </row>
    <row r="621" spans="1:1" x14ac:dyDescent="0.35">
      <c r="A6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D637-F8AE-42BB-90EE-1FFF1A4A5A5C}">
  <dimension ref="A1:L21"/>
  <sheetViews>
    <sheetView zoomScale="102" workbookViewId="0">
      <selection activeCell="N17" sqref="N17"/>
    </sheetView>
  </sheetViews>
  <sheetFormatPr defaultRowHeight="12.75" x14ac:dyDescent="0.35"/>
  <cols>
    <col min="2" max="2" width="12.86328125" customWidth="1"/>
    <col min="3" max="3" width="15.3984375" customWidth="1"/>
    <col min="6" max="6" width="11" customWidth="1"/>
    <col min="7" max="7" width="9.59765625" bestFit="1" customWidth="1"/>
    <col min="8" max="8" width="13.265625" customWidth="1"/>
    <col min="9" max="9" width="13" customWidth="1"/>
    <col min="10" max="10" width="12.59765625" customWidth="1"/>
  </cols>
  <sheetData>
    <row r="1" spans="1:12" ht="13.15" thickBot="1" x14ac:dyDescent="0.4">
      <c r="A1" s="3" t="s">
        <v>15</v>
      </c>
      <c r="B1" s="17" t="s">
        <v>16</v>
      </c>
      <c r="C1" s="18" t="s">
        <v>17</v>
      </c>
      <c r="D1" s="18" t="s">
        <v>18</v>
      </c>
      <c r="E1" s="19" t="s">
        <v>19</v>
      </c>
      <c r="F1" s="18" t="s">
        <v>20</v>
      </c>
      <c r="G1" s="18" t="s">
        <v>21</v>
      </c>
      <c r="H1" s="18" t="s">
        <v>22</v>
      </c>
      <c r="I1" s="18" t="s">
        <v>23</v>
      </c>
      <c r="J1" s="18" t="s">
        <v>24</v>
      </c>
      <c r="K1" s="19" t="s">
        <v>25</v>
      </c>
    </row>
    <row r="2" spans="1:12" ht="13.15" thickBot="1" x14ac:dyDescent="0.4">
      <c r="A2" s="3" t="s">
        <v>26</v>
      </c>
      <c r="B2" s="21">
        <v>0.29499999999999998</v>
      </c>
      <c r="C2" s="21">
        <v>1.2E-2</v>
      </c>
      <c r="D2" s="21">
        <v>2.4900000000000002</v>
      </c>
      <c r="E2" s="21">
        <v>0.01</v>
      </c>
      <c r="F2" s="12">
        <f>SQRT(B7^2+D7^2)</f>
        <v>2.4749781728905389</v>
      </c>
      <c r="G2" s="12">
        <f>F2*SQRT((E7/D7)^2+(C7/B7)^2)</f>
        <v>4.9012265325759273E-2</v>
      </c>
      <c r="H2" s="12">
        <f>F2/2</f>
        <v>1.2374890864452694</v>
      </c>
      <c r="I2" s="12">
        <f>G2/2</f>
        <v>2.4506132662879637E-2</v>
      </c>
      <c r="J2" s="12">
        <f>F2*2</f>
        <v>4.9499563457810778</v>
      </c>
      <c r="K2" s="12">
        <f>G2*2</f>
        <v>9.8024530651518546E-2</v>
      </c>
    </row>
    <row r="3" spans="1:12" x14ac:dyDescent="0.35">
      <c r="A3" s="3" t="s">
        <v>27</v>
      </c>
      <c r="B3" s="13">
        <v>0.30199999999999999</v>
      </c>
      <c r="C3" s="13">
        <v>1.4999999999999999E-2</v>
      </c>
      <c r="D3" s="13">
        <v>2.4500000000000002</v>
      </c>
      <c r="E3" s="13">
        <v>1.2999999999999999E-2</v>
      </c>
    </row>
    <row r="4" spans="1:12" x14ac:dyDescent="0.35">
      <c r="A4" t="s">
        <v>28</v>
      </c>
      <c r="B4" s="13">
        <v>0.29699999999999999</v>
      </c>
      <c r="C4" s="13">
        <v>1.0999999999999999E-2</v>
      </c>
      <c r="D4" s="13">
        <v>2.4500000000000002</v>
      </c>
      <c r="E4" s="13">
        <v>0.01</v>
      </c>
    </row>
    <row r="5" spans="1:12" x14ac:dyDescent="0.35">
      <c r="A5" t="s">
        <v>29</v>
      </c>
      <c r="B5" s="13">
        <v>0.24199999999999999</v>
      </c>
      <c r="C5" s="13">
        <v>1.4E-2</v>
      </c>
      <c r="D5" s="13">
        <v>2.44</v>
      </c>
      <c r="E5" s="13">
        <v>1.2999999999999999E-2</v>
      </c>
    </row>
    <row r="6" spans="1:12" x14ac:dyDescent="0.35">
      <c r="A6" t="s">
        <v>29</v>
      </c>
      <c r="B6" s="13">
        <v>0.28199999999999997</v>
      </c>
      <c r="C6" s="13">
        <v>1.2E-2</v>
      </c>
      <c r="D6" s="13">
        <v>2.4500000000000002</v>
      </c>
      <c r="E6" s="13">
        <v>1.0999999999999999E-2</v>
      </c>
    </row>
    <row r="7" spans="1:12" ht="13.15" thickBot="1" x14ac:dyDescent="0.4">
      <c r="A7" s="27" t="s">
        <v>30</v>
      </c>
      <c r="B7" s="22">
        <f>((B2/C2^2)+(B3/C3^2)+(B4/C4^2)+(B5/C5^2)+(B6/C6^2))/((1/C2^2)+(1/C3^2)+(1/C4^2)+(1/C5^2)+(1/C6^2))</f>
        <v>0.28512468408871228</v>
      </c>
      <c r="C7" s="22">
        <f>SQRT(1/((1/C2^2)+(1/C3^2)+(1/C4^2)+(1/C5^2)+(1/C6^2)))</f>
        <v>5.616574006704656E-3</v>
      </c>
      <c r="D7" s="22">
        <f>((D2/E2^2)+(D3/E3^2)+(D4/E4^2)+(D5/E5^2)+(D6/E6^2))/((1/E2^2)+(1/E3^2)+(1/E4^2)+(1/E5^2)+(1/E6^2))</f>
        <v>2.4584997195053537</v>
      </c>
      <c r="E7" s="22">
        <f>SQRT(1/((1/E2^2)+(1/E3^2)+(1/E4^2)+(1/E5^2)+(1/E6^2)))</f>
        <v>4.9938375155813399E-3</v>
      </c>
    </row>
    <row r="10" spans="1:12" ht="13.15" thickBot="1" x14ac:dyDescent="0.4"/>
    <row r="11" spans="1:12" ht="13.15" thickBot="1" x14ac:dyDescent="0.4">
      <c r="B11" s="16" t="s">
        <v>31</v>
      </c>
      <c r="C11" s="23" t="s">
        <v>32</v>
      </c>
      <c r="D11" s="24" t="s">
        <v>33</v>
      </c>
      <c r="E11" s="16" t="s">
        <v>34</v>
      </c>
      <c r="F11" s="39" t="s">
        <v>35</v>
      </c>
      <c r="G11" s="40"/>
      <c r="H11" s="41"/>
      <c r="I11" s="16" t="s">
        <v>36</v>
      </c>
      <c r="J11" s="25" t="s">
        <v>37</v>
      </c>
      <c r="K11" s="42" t="s">
        <v>38</v>
      </c>
      <c r="L11" s="25" t="s">
        <v>39</v>
      </c>
    </row>
    <row r="12" spans="1:12" x14ac:dyDescent="0.35">
      <c r="B12" s="13">
        <v>1.7</v>
      </c>
      <c r="C12">
        <v>1.27</v>
      </c>
      <c r="D12" s="15">
        <f>2.7*10^-4</f>
        <v>2.7000000000000006E-4</v>
      </c>
      <c r="E12" s="13">
        <f t="shared" ref="E12:E21" si="0">2*PI()/C12</f>
        <v>4.9473900056532178</v>
      </c>
      <c r="F12" s="7">
        <v>5.04</v>
      </c>
      <c r="G12">
        <v>5.04</v>
      </c>
      <c r="H12" s="8">
        <v>4.95</v>
      </c>
      <c r="I12" s="13">
        <f t="shared" ref="I12:I21" si="1">AVERAGE(F12:H12)</f>
        <v>5.0100000000000007</v>
      </c>
      <c r="J12" s="8">
        <f t="shared" ref="J12:J21" si="2">2*PI()/I12</f>
        <v>1.2541288038282605</v>
      </c>
      <c r="K12" s="43">
        <v>2.16</v>
      </c>
      <c r="L12" s="44">
        <v>9.9000000000000008E-3</v>
      </c>
    </row>
    <row r="13" spans="1:12" x14ac:dyDescent="0.35">
      <c r="B13" s="13">
        <v>1.8</v>
      </c>
      <c r="C13">
        <v>1.43</v>
      </c>
      <c r="D13" s="15">
        <f>3.8*10^-4</f>
        <v>3.8000000000000002E-4</v>
      </c>
      <c r="E13" s="13">
        <f t="shared" si="0"/>
        <v>4.3938358791465637</v>
      </c>
      <c r="F13" s="7">
        <v>4.41</v>
      </c>
      <c r="G13">
        <v>4.53</v>
      </c>
      <c r="H13" s="8">
        <v>4.37</v>
      </c>
      <c r="I13" s="13">
        <f t="shared" si="1"/>
        <v>4.4366666666666674</v>
      </c>
      <c r="J13" s="8">
        <f t="shared" si="2"/>
        <v>1.4161950354274047</v>
      </c>
      <c r="K13" s="7">
        <v>2.2999999999999998</v>
      </c>
      <c r="L13" s="8">
        <v>1.0999999999999999E-2</v>
      </c>
    </row>
    <row r="14" spans="1:12" x14ac:dyDescent="0.35">
      <c r="B14" s="13">
        <v>2</v>
      </c>
      <c r="C14">
        <v>1.61</v>
      </c>
      <c r="D14" s="15">
        <f>4.2*10^-4</f>
        <v>4.2000000000000002E-4</v>
      </c>
      <c r="E14" s="13">
        <f t="shared" si="0"/>
        <v>3.9025995696767612</v>
      </c>
      <c r="F14" s="7">
        <v>3.86</v>
      </c>
      <c r="G14">
        <v>3.87</v>
      </c>
      <c r="H14" s="8">
        <v>3.96</v>
      </c>
      <c r="I14" s="13">
        <f t="shared" si="1"/>
        <v>3.8966666666666669</v>
      </c>
      <c r="J14" s="8">
        <f t="shared" si="2"/>
        <v>1.6124513192077636</v>
      </c>
      <c r="K14" s="7">
        <v>2.6</v>
      </c>
      <c r="L14" s="8">
        <v>8.0000000000000002E-3</v>
      </c>
    </row>
    <row r="15" spans="1:12" x14ac:dyDescent="0.35">
      <c r="B15" s="13">
        <v>2.2999999999999998</v>
      </c>
      <c r="C15">
        <v>2.0299999999999998</v>
      </c>
      <c r="D15" s="15">
        <f>2.1*10^-4</f>
        <v>2.1000000000000001E-4</v>
      </c>
      <c r="E15" s="13">
        <f t="shared" si="0"/>
        <v>3.0951651759505352</v>
      </c>
      <c r="F15" s="7">
        <v>3.08</v>
      </c>
      <c r="G15">
        <v>3.08</v>
      </c>
      <c r="H15" s="8">
        <v>3.11</v>
      </c>
      <c r="I15" s="13">
        <f t="shared" si="1"/>
        <v>3.09</v>
      </c>
      <c r="J15" s="8">
        <f t="shared" si="2"/>
        <v>2.0333933032943645</v>
      </c>
      <c r="K15" s="7">
        <v>3.67</v>
      </c>
      <c r="L15" s="8">
        <v>5.4000000000000003E-3</v>
      </c>
    </row>
    <row r="16" spans="1:12" x14ac:dyDescent="0.35">
      <c r="B16" s="13">
        <v>2.7</v>
      </c>
      <c r="C16">
        <v>2.54</v>
      </c>
      <c r="D16" s="15">
        <f>4.5*10^-4</f>
        <v>4.5000000000000004E-4</v>
      </c>
      <c r="E16" s="13">
        <f t="shared" si="0"/>
        <v>2.4736950028266089</v>
      </c>
      <c r="F16" s="7">
        <v>2.5099999999999998</v>
      </c>
      <c r="G16">
        <v>2.5099999999999998</v>
      </c>
      <c r="H16" s="8">
        <v>2.46</v>
      </c>
      <c r="I16" s="13">
        <f t="shared" si="1"/>
        <v>2.4933333333333332</v>
      </c>
      <c r="J16" s="8">
        <f t="shared" si="2"/>
        <v>2.5199941071575882</v>
      </c>
      <c r="K16" s="7">
        <v>6.11</v>
      </c>
      <c r="L16" s="8">
        <v>1.9E-2</v>
      </c>
    </row>
    <row r="17" spans="2:12" x14ac:dyDescent="0.35">
      <c r="B17" s="13">
        <v>3.2</v>
      </c>
      <c r="C17">
        <v>3.14</v>
      </c>
      <c r="D17" s="15">
        <f>1.9*10^-4</f>
        <v>1.9000000000000001E-4</v>
      </c>
      <c r="E17" s="13">
        <f t="shared" si="0"/>
        <v>2.0010144290380847</v>
      </c>
      <c r="F17" s="7">
        <v>2</v>
      </c>
      <c r="G17">
        <v>1.99</v>
      </c>
      <c r="H17" s="8">
        <v>2</v>
      </c>
      <c r="I17" s="13">
        <f t="shared" si="1"/>
        <v>1.9966666666666668</v>
      </c>
      <c r="J17" s="8">
        <f t="shared" si="2"/>
        <v>3.1468373825607276</v>
      </c>
      <c r="K17" s="7">
        <v>2.99</v>
      </c>
      <c r="L17" s="8">
        <v>2E-3</v>
      </c>
    </row>
    <row r="18" spans="2:12" x14ac:dyDescent="0.35">
      <c r="B18" s="13">
        <v>3.6</v>
      </c>
      <c r="C18">
        <v>3.68</v>
      </c>
      <c r="D18" s="15">
        <f>3*10^-4</f>
        <v>3.0000000000000003E-4</v>
      </c>
      <c r="E18" s="13">
        <f t="shared" si="0"/>
        <v>1.7073873117335832</v>
      </c>
      <c r="F18" s="7">
        <v>1.7</v>
      </c>
      <c r="G18">
        <v>1.71</v>
      </c>
      <c r="H18" s="8">
        <v>1.71</v>
      </c>
      <c r="I18" s="13">
        <f t="shared" si="1"/>
        <v>1.7066666666666668</v>
      </c>
      <c r="J18" s="8">
        <f t="shared" si="2"/>
        <v>3.6815538909255388</v>
      </c>
      <c r="K18" s="7">
        <v>1.58</v>
      </c>
      <c r="L18" s="8">
        <v>1.5E-3</v>
      </c>
    </row>
    <row r="19" spans="2:12" x14ac:dyDescent="0.35">
      <c r="B19" s="13">
        <v>4.2</v>
      </c>
      <c r="C19">
        <v>4.3899999999999997</v>
      </c>
      <c r="D19" s="15">
        <f>3.7*10^-4</f>
        <v>3.7000000000000005E-4</v>
      </c>
      <c r="E19" s="13">
        <f t="shared" si="0"/>
        <v>1.4312495004964889</v>
      </c>
      <c r="F19" s="7">
        <v>1.44</v>
      </c>
      <c r="G19">
        <v>1.43</v>
      </c>
      <c r="H19" s="8">
        <v>1.43</v>
      </c>
      <c r="I19" s="13">
        <f t="shared" si="1"/>
        <v>1.4333333333333333</v>
      </c>
      <c r="J19" s="8">
        <f t="shared" si="2"/>
        <v>4.3836176561718041</v>
      </c>
      <c r="K19" s="7">
        <v>0.89300000000000002</v>
      </c>
      <c r="L19" s="8">
        <v>7.7999999999999999E-4</v>
      </c>
    </row>
    <row r="20" spans="2:12" x14ac:dyDescent="0.35">
      <c r="B20" s="13">
        <v>4.5</v>
      </c>
      <c r="C20">
        <v>4.75</v>
      </c>
      <c r="D20" s="13">
        <f>4.5*10^-4</f>
        <v>4.5000000000000004E-4</v>
      </c>
      <c r="E20" s="13">
        <f t="shared" si="0"/>
        <v>1.3227758541430708</v>
      </c>
      <c r="F20" s="7">
        <v>1.33</v>
      </c>
      <c r="G20">
        <v>1.33</v>
      </c>
      <c r="H20" s="8">
        <v>1.32</v>
      </c>
      <c r="I20" s="13">
        <f t="shared" si="1"/>
        <v>1.3266666666666669</v>
      </c>
      <c r="J20" s="8">
        <f t="shared" si="2"/>
        <v>4.7360693270197878</v>
      </c>
      <c r="K20" s="7">
        <v>0.71399999999999997</v>
      </c>
      <c r="L20" s="8">
        <v>1.5E-3</v>
      </c>
    </row>
    <row r="21" spans="2:12" ht="13.15" thickBot="1" x14ac:dyDescent="0.4">
      <c r="B21" s="14">
        <v>4.7</v>
      </c>
      <c r="C21" s="10">
        <v>4.95</v>
      </c>
      <c r="D21" s="14">
        <f>6.6*10^-4</f>
        <v>6.6E-4</v>
      </c>
      <c r="E21" s="14">
        <f t="shared" si="0"/>
        <v>1.2693303650867851</v>
      </c>
      <c r="F21" s="9">
        <v>1.26</v>
      </c>
      <c r="G21" s="10">
        <v>1.28</v>
      </c>
      <c r="H21" s="11">
        <v>1.2669999999999999</v>
      </c>
      <c r="I21" s="14">
        <f t="shared" si="1"/>
        <v>1.2689999999999999</v>
      </c>
      <c r="J21" s="11">
        <f t="shared" si="2"/>
        <v>4.9512886581399425</v>
      </c>
      <c r="K21" s="9">
        <v>0.63400000000000001</v>
      </c>
      <c r="L21" s="11">
        <v>8.5999999999999998E-4</v>
      </c>
    </row>
  </sheetData>
  <mergeCells count="1">
    <mergeCell ref="F11:H11"/>
  </mergeCells>
  <pageMargins left="0.7" right="0.7" top="0.75" bottom="0.75" header="0.3" footer="0.3"/>
  <ignoredErrors>
    <ignoredError sqref="C7:D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B194-FBA4-4E52-993E-6A8001793F6B}">
  <dimension ref="A1:J324"/>
  <sheetViews>
    <sheetView workbookViewId="0">
      <selection activeCell="K11" sqref="K11"/>
    </sheetView>
  </sheetViews>
  <sheetFormatPr defaultRowHeight="12.75" x14ac:dyDescent="0.35"/>
  <sheetData>
    <row r="1" spans="1:10" x14ac:dyDescent="0.35">
      <c r="A1" s="28" t="s">
        <v>40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13.15" x14ac:dyDescent="0.4">
      <c r="A2" s="31" t="s">
        <v>41</v>
      </c>
      <c r="B2" s="32" t="s">
        <v>42</v>
      </c>
      <c r="C2" s="32"/>
      <c r="D2" s="32"/>
      <c r="E2" s="32" t="s">
        <v>7</v>
      </c>
      <c r="F2" s="32" t="s">
        <v>43</v>
      </c>
      <c r="G2" s="32"/>
      <c r="H2" s="32"/>
      <c r="I2" s="33" t="s">
        <v>44</v>
      </c>
      <c r="J2" s="34" t="s">
        <v>43</v>
      </c>
    </row>
    <row r="3" spans="1:10" x14ac:dyDescent="0.35">
      <c r="A3" s="31">
        <v>0.79600000000000004</v>
      </c>
      <c r="B3" s="32"/>
      <c r="C3" s="32" t="s">
        <v>45</v>
      </c>
      <c r="D3" s="32"/>
      <c r="E3" s="32">
        <v>0.33500000000000002</v>
      </c>
      <c r="F3" s="32">
        <v>2.5000000000000001E-2</v>
      </c>
      <c r="G3" s="32" t="s">
        <v>46</v>
      </c>
      <c r="H3" s="32"/>
      <c r="I3" s="32">
        <v>2.67</v>
      </c>
      <c r="J3" s="34">
        <v>1.45</v>
      </c>
    </row>
    <row r="4" spans="1:10" x14ac:dyDescent="0.35">
      <c r="A4" s="31">
        <v>1.1990000000000001</v>
      </c>
      <c r="B4" s="32">
        <v>8.577</v>
      </c>
      <c r="C4" s="32"/>
      <c r="D4" s="32"/>
      <c r="E4" s="32">
        <v>0.46500000000000002</v>
      </c>
      <c r="F4" s="32">
        <v>0.05</v>
      </c>
      <c r="G4" s="32"/>
      <c r="H4" s="32"/>
      <c r="I4" s="32">
        <v>2.9279999999999999</v>
      </c>
      <c r="J4" s="34">
        <v>1.4750000000000001</v>
      </c>
    </row>
    <row r="5" spans="1:10" x14ac:dyDescent="0.35">
      <c r="A5" s="31">
        <v>1.6539999999999999</v>
      </c>
      <c r="B5" s="32">
        <v>9.5660000000000007</v>
      </c>
      <c r="C5" s="32"/>
      <c r="D5" s="32"/>
      <c r="E5" s="32">
        <v>0.61899999999999999</v>
      </c>
      <c r="F5" s="32">
        <v>7.4999999999999997E-2</v>
      </c>
      <c r="G5" s="32"/>
      <c r="H5" s="32"/>
      <c r="I5" s="32">
        <v>3.1709999999999998</v>
      </c>
      <c r="J5" s="34">
        <v>1.5</v>
      </c>
    </row>
    <row r="6" spans="1:10" x14ac:dyDescent="0.35">
      <c r="A6" s="31">
        <v>2.157</v>
      </c>
      <c r="B6" s="32">
        <v>10.509</v>
      </c>
      <c r="C6" s="32"/>
      <c r="D6" s="32"/>
      <c r="E6" s="32">
        <v>0.79300000000000004</v>
      </c>
      <c r="F6" s="32">
        <v>0.1</v>
      </c>
      <c r="G6" s="32"/>
      <c r="H6" s="32"/>
      <c r="I6" s="32">
        <v>3.3980000000000001</v>
      </c>
      <c r="J6" s="34">
        <v>1.5249999999999999</v>
      </c>
    </row>
    <row r="7" spans="1:10" x14ac:dyDescent="0.35">
      <c r="A7" s="31">
        <v>2.7080000000000002</v>
      </c>
      <c r="B7" s="32">
        <v>11.305</v>
      </c>
      <c r="C7" s="32"/>
      <c r="D7" s="32"/>
      <c r="E7" s="32">
        <v>0.98499999999999999</v>
      </c>
      <c r="F7" s="32">
        <v>0.125</v>
      </c>
      <c r="G7" s="32"/>
      <c r="H7" s="32"/>
      <c r="I7" s="32">
        <v>3.6070000000000002</v>
      </c>
      <c r="J7" s="34">
        <v>1.55</v>
      </c>
    </row>
    <row r="8" spans="1:10" x14ac:dyDescent="0.35">
      <c r="A8" s="31">
        <v>3.2970000000000002</v>
      </c>
      <c r="B8" s="32">
        <v>11.849</v>
      </c>
      <c r="C8" s="32"/>
      <c r="D8" s="32"/>
      <c r="E8" s="32">
        <v>1.194</v>
      </c>
      <c r="F8" s="32">
        <v>0.15</v>
      </c>
      <c r="G8" s="32"/>
      <c r="H8" s="32"/>
      <c r="I8" s="32">
        <v>3.798</v>
      </c>
      <c r="J8" s="34">
        <v>1.575</v>
      </c>
    </row>
    <row r="9" spans="1:10" x14ac:dyDescent="0.35">
      <c r="A9" s="31">
        <v>3.9049999999999998</v>
      </c>
      <c r="B9" s="32">
        <v>11.811999999999999</v>
      </c>
      <c r="C9" s="32"/>
      <c r="D9" s="32"/>
      <c r="E9" s="32">
        <v>1.411</v>
      </c>
      <c r="F9" s="32">
        <v>0.17499999999999999</v>
      </c>
      <c r="G9" s="32"/>
      <c r="H9" s="32"/>
      <c r="I9" s="32">
        <v>3.9689999999999999</v>
      </c>
      <c r="J9" s="34">
        <v>1.6</v>
      </c>
    </row>
    <row r="10" spans="1:10" x14ac:dyDescent="0.35">
      <c r="A10" s="31">
        <v>4.5140000000000002</v>
      </c>
      <c r="B10" s="32">
        <v>10.954000000000001</v>
      </c>
      <c r="C10" s="32"/>
      <c r="D10" s="32"/>
      <c r="E10" s="32">
        <v>1.6319999999999999</v>
      </c>
      <c r="F10" s="32">
        <v>0.2</v>
      </c>
      <c r="G10" s="32"/>
      <c r="H10" s="32"/>
      <c r="I10" s="32">
        <v>4.1230000000000002</v>
      </c>
      <c r="J10" s="34">
        <v>1.625</v>
      </c>
    </row>
    <row r="11" spans="1:10" x14ac:dyDescent="0.35">
      <c r="A11" s="31">
        <v>5.0339999999999998</v>
      </c>
      <c r="B11" s="32">
        <v>9.3360000000000003</v>
      </c>
      <c r="C11" s="32"/>
      <c r="D11" s="32"/>
      <c r="E11" s="32">
        <v>1.861</v>
      </c>
      <c r="F11" s="32">
        <v>0.22500000000000001</v>
      </c>
      <c r="G11" s="32"/>
      <c r="H11" s="32"/>
      <c r="I11" s="32">
        <v>4.2569999999999997</v>
      </c>
      <c r="J11" s="34">
        <v>1.65</v>
      </c>
    </row>
    <row r="12" spans="1:10" x14ac:dyDescent="0.35">
      <c r="A12" s="31">
        <v>5.4539999999999997</v>
      </c>
      <c r="B12" s="32">
        <v>7.2990000000000004</v>
      </c>
      <c r="C12" s="32"/>
      <c r="D12" s="32"/>
      <c r="E12" s="32">
        <v>2.1</v>
      </c>
      <c r="F12" s="32">
        <v>0.25</v>
      </c>
      <c r="G12" s="32"/>
      <c r="H12" s="32"/>
      <c r="I12" s="32">
        <v>4.3719999999999999</v>
      </c>
      <c r="J12" s="34">
        <v>1.675</v>
      </c>
    </row>
    <row r="13" spans="1:10" x14ac:dyDescent="0.35">
      <c r="A13" s="31">
        <v>5.766</v>
      </c>
      <c r="B13" s="32">
        <v>5.173</v>
      </c>
      <c r="C13" s="32"/>
      <c r="D13" s="32"/>
      <c r="E13" s="32">
        <v>2.3530000000000002</v>
      </c>
      <c r="F13" s="32">
        <v>0.27500000000000002</v>
      </c>
      <c r="G13" s="32"/>
      <c r="H13" s="32"/>
      <c r="I13" s="32">
        <v>4.4660000000000002</v>
      </c>
      <c r="J13" s="34">
        <v>1.7</v>
      </c>
    </row>
    <row r="14" spans="1:10" x14ac:dyDescent="0.35">
      <c r="A14" s="31">
        <v>5.9720000000000004</v>
      </c>
      <c r="B14" s="32">
        <v>3.0209999999999999</v>
      </c>
      <c r="C14" s="32"/>
      <c r="D14" s="32"/>
      <c r="E14" s="32">
        <v>2.6080000000000001</v>
      </c>
      <c r="F14" s="32">
        <v>0.3</v>
      </c>
      <c r="G14" s="32"/>
      <c r="H14" s="32"/>
      <c r="I14" s="32">
        <v>4.54</v>
      </c>
      <c r="J14" s="34">
        <v>1.7250000000000001</v>
      </c>
    </row>
    <row r="15" spans="1:10" x14ac:dyDescent="0.35">
      <c r="A15" s="31">
        <v>6.0679999999999996</v>
      </c>
      <c r="B15" s="32">
        <v>0.88</v>
      </c>
      <c r="C15" s="32"/>
      <c r="D15" s="32"/>
      <c r="E15" s="32">
        <v>2.851</v>
      </c>
      <c r="F15" s="32">
        <v>0.32500000000000001</v>
      </c>
      <c r="G15" s="32"/>
      <c r="H15" s="32"/>
      <c r="I15" s="32">
        <v>4.5910000000000002</v>
      </c>
      <c r="J15" s="34">
        <v>1.75</v>
      </c>
    </row>
    <row r="16" spans="1:10" x14ac:dyDescent="0.35">
      <c r="A16" s="31">
        <v>6.0590000000000002</v>
      </c>
      <c r="B16" s="32">
        <v>-1.2250000000000001</v>
      </c>
      <c r="C16" s="32"/>
      <c r="D16" s="32"/>
      <c r="E16" s="32">
        <v>3.0790000000000002</v>
      </c>
      <c r="F16" s="32">
        <v>0.35</v>
      </c>
      <c r="G16" s="32"/>
      <c r="H16" s="32"/>
      <c r="I16" s="32">
        <v>4.6239999999999997</v>
      </c>
      <c r="J16" s="34">
        <v>1.7749999999999999</v>
      </c>
    </row>
    <row r="17" spans="1:10" x14ac:dyDescent="0.35">
      <c r="A17" s="31">
        <v>5.944</v>
      </c>
      <c r="B17" s="32">
        <v>-3.2519999999999998</v>
      </c>
      <c r="C17" s="32"/>
      <c r="D17" s="32"/>
      <c r="E17" s="32">
        <v>3.2909999999999999</v>
      </c>
      <c r="F17" s="32">
        <v>0.375</v>
      </c>
      <c r="G17" s="32"/>
      <c r="H17" s="32"/>
      <c r="I17" s="32">
        <v>4.6369999999999996</v>
      </c>
      <c r="J17" s="34">
        <v>1.8</v>
      </c>
    </row>
    <row r="18" spans="1:10" x14ac:dyDescent="0.35">
      <c r="A18" s="31">
        <v>5.7290000000000001</v>
      </c>
      <c r="B18" s="32">
        <v>-5.173</v>
      </c>
      <c r="C18" s="32"/>
      <c r="D18" s="32"/>
      <c r="E18" s="32">
        <v>3.4870000000000001</v>
      </c>
      <c r="F18" s="32">
        <v>0.4</v>
      </c>
      <c r="G18" s="32"/>
      <c r="H18" s="32"/>
      <c r="I18" s="32">
        <v>4.6310000000000002</v>
      </c>
      <c r="J18" s="34">
        <v>1.825</v>
      </c>
    </row>
    <row r="19" spans="1:10" x14ac:dyDescent="0.35">
      <c r="A19" s="31">
        <v>5.4219999999999997</v>
      </c>
      <c r="B19" s="32">
        <v>-6.9640000000000004</v>
      </c>
      <c r="C19" s="32"/>
      <c r="D19" s="32"/>
      <c r="E19" s="32">
        <v>3.6680000000000001</v>
      </c>
      <c r="F19" s="32">
        <v>0.42499999999999999</v>
      </c>
      <c r="G19" s="32"/>
      <c r="H19" s="32"/>
      <c r="I19" s="32">
        <v>4.6020000000000003</v>
      </c>
      <c r="J19" s="34">
        <v>1.85</v>
      </c>
    </row>
    <row r="20" spans="1:10" x14ac:dyDescent="0.35">
      <c r="A20" s="31">
        <v>5.0279999999999996</v>
      </c>
      <c r="B20" s="32">
        <v>-8.5969999999999995</v>
      </c>
      <c r="C20" s="32"/>
      <c r="D20" s="32"/>
      <c r="E20" s="32">
        <v>3.83</v>
      </c>
      <c r="F20" s="32">
        <v>0.45</v>
      </c>
      <c r="G20" s="32"/>
      <c r="H20" s="32"/>
      <c r="I20" s="32">
        <v>4.5549999999999997</v>
      </c>
      <c r="J20" s="34">
        <v>1.875</v>
      </c>
    </row>
    <row r="21" spans="1:10" x14ac:dyDescent="0.35">
      <c r="A21" s="31">
        <v>4.5549999999999997</v>
      </c>
      <c r="B21" s="32">
        <v>-10.053000000000001</v>
      </c>
      <c r="C21" s="32"/>
      <c r="D21" s="32"/>
      <c r="E21" s="32">
        <v>3.9740000000000002</v>
      </c>
      <c r="F21" s="32">
        <v>0.47499999999999998</v>
      </c>
      <c r="G21" s="32"/>
      <c r="H21" s="32"/>
      <c r="I21" s="32">
        <v>4.4909999999999997</v>
      </c>
      <c r="J21" s="34">
        <v>1.9</v>
      </c>
    </row>
    <row r="22" spans="1:10" x14ac:dyDescent="0.35">
      <c r="A22" s="31">
        <v>4.0170000000000003</v>
      </c>
      <c r="B22" s="32">
        <v>-11.305</v>
      </c>
      <c r="C22" s="32"/>
      <c r="D22" s="32"/>
      <c r="E22" s="32">
        <v>4.0999999999999996</v>
      </c>
      <c r="F22" s="32">
        <v>0.5</v>
      </c>
      <c r="G22" s="32"/>
      <c r="H22" s="32"/>
      <c r="I22" s="32">
        <v>4.4059999999999997</v>
      </c>
      <c r="J22" s="34">
        <v>1.925</v>
      </c>
    </row>
    <row r="23" spans="1:10" x14ac:dyDescent="0.35">
      <c r="A23" s="31">
        <v>3.4180000000000001</v>
      </c>
      <c r="B23" s="32">
        <v>-12.326000000000001</v>
      </c>
      <c r="C23" s="32"/>
      <c r="D23" s="32"/>
      <c r="E23" s="32">
        <v>4.2080000000000002</v>
      </c>
      <c r="F23" s="32">
        <v>0.52500000000000002</v>
      </c>
      <c r="G23" s="32"/>
      <c r="H23" s="32"/>
      <c r="I23" s="32">
        <v>4.306</v>
      </c>
      <c r="J23" s="34">
        <v>1.95</v>
      </c>
    </row>
    <row r="24" spans="1:10" x14ac:dyDescent="0.35">
      <c r="A24" s="31">
        <v>2.774</v>
      </c>
      <c r="B24" s="32">
        <v>-13.106</v>
      </c>
      <c r="C24" s="32"/>
      <c r="D24" s="32"/>
      <c r="E24" s="32">
        <v>4.2960000000000003</v>
      </c>
      <c r="F24" s="32">
        <v>0.55000000000000004</v>
      </c>
      <c r="G24" s="32"/>
      <c r="H24" s="32"/>
      <c r="I24" s="32">
        <v>4.1879999999999997</v>
      </c>
      <c r="J24" s="34">
        <v>1.9750000000000001</v>
      </c>
    </row>
    <row r="25" spans="1:10" x14ac:dyDescent="0.35">
      <c r="A25" s="31">
        <v>2.1</v>
      </c>
      <c r="B25" s="32">
        <v>-13.64</v>
      </c>
      <c r="C25" s="32"/>
      <c r="D25" s="32"/>
      <c r="E25" s="32">
        <v>4.367</v>
      </c>
      <c r="F25" s="32">
        <v>0.57499999999999996</v>
      </c>
      <c r="G25" s="32"/>
      <c r="H25" s="32"/>
      <c r="I25" s="32">
        <v>4.0529999999999999</v>
      </c>
      <c r="J25" s="34">
        <v>2</v>
      </c>
    </row>
    <row r="26" spans="1:10" x14ac:dyDescent="0.35">
      <c r="A26" s="31">
        <v>1.403</v>
      </c>
      <c r="B26" s="32">
        <v>-13.933</v>
      </c>
      <c r="C26" s="32"/>
      <c r="D26" s="32"/>
      <c r="E26" s="32">
        <v>4.4169999999999998</v>
      </c>
      <c r="F26" s="32">
        <v>0.6</v>
      </c>
      <c r="G26" s="32"/>
      <c r="H26" s="32"/>
      <c r="I26" s="32">
        <v>3.903</v>
      </c>
      <c r="J26" s="34">
        <v>2.0249999999999999</v>
      </c>
    </row>
    <row r="27" spans="1:10" x14ac:dyDescent="0.35">
      <c r="A27" s="31">
        <v>0.69699999999999995</v>
      </c>
      <c r="B27" s="32">
        <v>-13.991</v>
      </c>
      <c r="C27" s="32"/>
      <c r="D27" s="32"/>
      <c r="E27" s="32">
        <v>4.4480000000000004</v>
      </c>
      <c r="F27" s="32">
        <v>0.625</v>
      </c>
      <c r="G27" s="32"/>
      <c r="H27" s="32"/>
      <c r="I27" s="32">
        <v>3.738</v>
      </c>
      <c r="J27" s="34">
        <v>2.0499999999999998</v>
      </c>
    </row>
    <row r="28" spans="1:10" x14ac:dyDescent="0.35">
      <c r="A28" s="31">
        <v>-3.0000000000000001E-3</v>
      </c>
      <c r="B28" s="32">
        <v>-13.813000000000001</v>
      </c>
      <c r="C28" s="32"/>
      <c r="D28" s="32"/>
      <c r="E28" s="32">
        <v>4.4610000000000003</v>
      </c>
      <c r="F28" s="32">
        <v>0.65</v>
      </c>
      <c r="G28" s="32"/>
      <c r="H28" s="32"/>
      <c r="I28" s="32">
        <v>3.5590000000000002</v>
      </c>
      <c r="J28" s="34">
        <v>2.0750000000000002</v>
      </c>
    </row>
    <row r="29" spans="1:10" x14ac:dyDescent="0.35">
      <c r="A29" s="31">
        <v>-0.69099999999999995</v>
      </c>
      <c r="B29" s="32">
        <v>-13.42</v>
      </c>
      <c r="C29" s="32"/>
      <c r="D29" s="32"/>
      <c r="E29" s="32">
        <v>4.4560000000000004</v>
      </c>
      <c r="F29" s="32">
        <v>0.67500000000000004</v>
      </c>
      <c r="G29" s="32"/>
      <c r="H29" s="32"/>
      <c r="I29" s="32">
        <v>3.3679999999999999</v>
      </c>
      <c r="J29" s="34">
        <v>2.1</v>
      </c>
    </row>
    <row r="30" spans="1:10" x14ac:dyDescent="0.35">
      <c r="A30" s="31">
        <v>-1.3520000000000001</v>
      </c>
      <c r="B30" s="32">
        <v>-12.818</v>
      </c>
      <c r="C30" s="32"/>
      <c r="D30" s="32"/>
      <c r="E30" s="32">
        <v>4.431</v>
      </c>
      <c r="F30" s="32">
        <v>0.7</v>
      </c>
      <c r="G30" s="32"/>
      <c r="H30" s="32"/>
      <c r="I30" s="32">
        <v>3.165</v>
      </c>
      <c r="J30" s="34">
        <v>2.125</v>
      </c>
    </row>
    <row r="31" spans="1:10" x14ac:dyDescent="0.35">
      <c r="A31" s="31">
        <v>-1.9790000000000001</v>
      </c>
      <c r="B31" s="32">
        <v>-12.010999999999999</v>
      </c>
      <c r="C31" s="32"/>
      <c r="D31" s="32"/>
      <c r="E31" s="32">
        <v>4.3890000000000002</v>
      </c>
      <c r="F31" s="32">
        <v>0.72499999999999998</v>
      </c>
      <c r="G31" s="32"/>
      <c r="H31" s="32"/>
      <c r="I31" s="32">
        <v>2.95</v>
      </c>
      <c r="J31" s="34">
        <v>2.15</v>
      </c>
    </row>
    <row r="32" spans="1:10" x14ac:dyDescent="0.35">
      <c r="A32" s="31">
        <v>-2.56</v>
      </c>
      <c r="B32" s="32">
        <v>-11.022</v>
      </c>
      <c r="C32" s="32"/>
      <c r="D32" s="32"/>
      <c r="E32" s="32">
        <v>4.3280000000000003</v>
      </c>
      <c r="F32" s="32">
        <v>0.75</v>
      </c>
      <c r="G32" s="32"/>
      <c r="H32" s="32"/>
      <c r="I32" s="32">
        <v>2.7269999999999999</v>
      </c>
      <c r="J32" s="34">
        <v>2.1749999999999998</v>
      </c>
    </row>
    <row r="33" spans="1:10" x14ac:dyDescent="0.35">
      <c r="A33" s="31">
        <v>-3.0870000000000002</v>
      </c>
      <c r="B33" s="32">
        <v>-9.859</v>
      </c>
      <c r="C33" s="32"/>
      <c r="D33" s="32"/>
      <c r="E33" s="32">
        <v>4.2519999999999998</v>
      </c>
      <c r="F33" s="32">
        <v>0.77500000000000002</v>
      </c>
      <c r="G33" s="32"/>
      <c r="H33" s="32"/>
      <c r="I33" s="32">
        <v>2.4929999999999999</v>
      </c>
      <c r="J33" s="34">
        <v>2.2000000000000002</v>
      </c>
    </row>
    <row r="34" spans="1:10" x14ac:dyDescent="0.35">
      <c r="A34" s="31">
        <v>-3.552</v>
      </c>
      <c r="B34" s="32">
        <v>-8.5500000000000007</v>
      </c>
      <c r="C34" s="32"/>
      <c r="D34" s="32"/>
      <c r="E34" s="32">
        <v>4.1580000000000004</v>
      </c>
      <c r="F34" s="32">
        <v>0.8</v>
      </c>
      <c r="G34" s="32"/>
      <c r="H34" s="32"/>
      <c r="I34" s="32">
        <v>2.2530000000000001</v>
      </c>
      <c r="J34" s="34">
        <v>2.2250000000000001</v>
      </c>
    </row>
    <row r="35" spans="1:10" x14ac:dyDescent="0.35">
      <c r="A35" s="31">
        <v>-3.9460000000000002</v>
      </c>
      <c r="B35" s="32">
        <v>-7.1260000000000003</v>
      </c>
      <c r="C35" s="32"/>
      <c r="D35" s="32"/>
      <c r="E35" s="32">
        <v>4.048</v>
      </c>
      <c r="F35" s="32">
        <v>0.82499999999999996</v>
      </c>
      <c r="G35" s="32"/>
      <c r="H35" s="32"/>
      <c r="I35" s="32">
        <v>2.0059999999999998</v>
      </c>
      <c r="J35" s="34">
        <v>2.25</v>
      </c>
    </row>
    <row r="36" spans="1:10" x14ac:dyDescent="0.35">
      <c r="A36" s="31">
        <v>-4.266</v>
      </c>
      <c r="B36" s="32">
        <v>-5.6230000000000002</v>
      </c>
      <c r="C36" s="32"/>
      <c r="D36" s="32"/>
      <c r="E36" s="32">
        <v>3.9220000000000002</v>
      </c>
      <c r="F36" s="32">
        <v>0.85</v>
      </c>
      <c r="G36" s="32"/>
      <c r="H36" s="32"/>
      <c r="I36" s="32">
        <v>1.7549999999999999</v>
      </c>
      <c r="J36" s="34">
        <v>2.2749999999999999</v>
      </c>
    </row>
    <row r="37" spans="1:10" x14ac:dyDescent="0.35">
      <c r="A37" s="31">
        <v>-4.51</v>
      </c>
      <c r="B37" s="32">
        <v>-4.0789999999999997</v>
      </c>
      <c r="C37" s="32"/>
      <c r="D37" s="32"/>
      <c r="E37" s="32">
        <v>3.7839999999999998</v>
      </c>
      <c r="F37" s="32">
        <v>0.875</v>
      </c>
      <c r="G37" s="32"/>
      <c r="H37" s="32"/>
      <c r="I37" s="32">
        <v>1.4970000000000001</v>
      </c>
      <c r="J37" s="34">
        <v>2.2999999999999998</v>
      </c>
    </row>
    <row r="38" spans="1:10" x14ac:dyDescent="0.35">
      <c r="A38" s="31">
        <v>-4.6749999999999998</v>
      </c>
      <c r="B38" s="32">
        <v>-2.5129999999999999</v>
      </c>
      <c r="C38" s="32"/>
      <c r="D38" s="32"/>
      <c r="E38" s="32">
        <v>3.63</v>
      </c>
      <c r="F38" s="32">
        <v>0.9</v>
      </c>
      <c r="G38" s="32"/>
      <c r="H38" s="32"/>
      <c r="I38" s="32">
        <v>1.238</v>
      </c>
      <c r="J38" s="34">
        <v>2.3250000000000002</v>
      </c>
    </row>
    <row r="39" spans="1:10" x14ac:dyDescent="0.35">
      <c r="A39" s="31">
        <v>-4.7610000000000001</v>
      </c>
      <c r="B39" s="32">
        <v>-0.94199999999999995</v>
      </c>
      <c r="C39" s="32"/>
      <c r="D39" s="32"/>
      <c r="E39" s="32">
        <v>3.464</v>
      </c>
      <c r="F39" s="32">
        <v>0.92500000000000004</v>
      </c>
      <c r="G39" s="32"/>
      <c r="H39" s="32"/>
      <c r="I39" s="32">
        <v>0.97499999999999998</v>
      </c>
      <c r="J39" s="34">
        <v>2.35</v>
      </c>
    </row>
    <row r="40" spans="1:10" x14ac:dyDescent="0.35">
      <c r="A40" s="31">
        <v>-4.7690000000000001</v>
      </c>
      <c r="B40" s="32">
        <v>0.60699999999999998</v>
      </c>
      <c r="C40" s="32"/>
      <c r="D40" s="32"/>
      <c r="E40" s="32">
        <v>3.286</v>
      </c>
      <c r="F40" s="32">
        <v>0.95</v>
      </c>
      <c r="G40" s="32"/>
      <c r="H40" s="32"/>
      <c r="I40" s="32">
        <v>0.71299999999999997</v>
      </c>
      <c r="J40" s="34">
        <v>2.375</v>
      </c>
    </row>
    <row r="41" spans="1:10" x14ac:dyDescent="0.35">
      <c r="A41" s="31">
        <v>-4.6980000000000004</v>
      </c>
      <c r="B41" s="32">
        <v>2.105</v>
      </c>
      <c r="C41" s="32"/>
      <c r="D41" s="32"/>
      <c r="E41" s="32">
        <v>3.0960000000000001</v>
      </c>
      <c r="F41" s="32">
        <v>0.97499999999999998</v>
      </c>
      <c r="G41" s="32"/>
      <c r="H41" s="32"/>
      <c r="I41" s="32">
        <v>0.45200000000000001</v>
      </c>
      <c r="J41" s="34">
        <v>2.4</v>
      </c>
    </row>
    <row r="42" spans="1:10" x14ac:dyDescent="0.35">
      <c r="A42" s="31">
        <v>-4.5549999999999997</v>
      </c>
      <c r="B42" s="32">
        <v>3.5289999999999999</v>
      </c>
      <c r="C42" s="32"/>
      <c r="D42" s="32"/>
      <c r="E42" s="32">
        <v>2.8969999999999998</v>
      </c>
      <c r="F42" s="32">
        <v>1</v>
      </c>
      <c r="G42" s="32"/>
      <c r="H42" s="32"/>
      <c r="I42" s="32">
        <v>0.192</v>
      </c>
      <c r="J42" s="34">
        <v>2.4249999999999998</v>
      </c>
    </row>
    <row r="43" spans="1:10" x14ac:dyDescent="0.35">
      <c r="A43" s="31">
        <v>-4.343</v>
      </c>
      <c r="B43" s="32">
        <v>4.859</v>
      </c>
      <c r="C43" s="32"/>
      <c r="D43" s="32"/>
      <c r="E43" s="32">
        <v>2.6880000000000002</v>
      </c>
      <c r="F43" s="32">
        <v>1.0249999999999999</v>
      </c>
      <c r="G43" s="32"/>
      <c r="H43" s="32"/>
      <c r="I43" s="32">
        <v>-6.6000000000000003E-2</v>
      </c>
      <c r="J43" s="34">
        <v>2.4500000000000002</v>
      </c>
    </row>
    <row r="44" spans="1:10" x14ac:dyDescent="0.35">
      <c r="A44" s="31">
        <v>-4.0650000000000004</v>
      </c>
      <c r="B44" s="32">
        <v>6.0789999999999997</v>
      </c>
      <c r="C44" s="32"/>
      <c r="D44" s="32"/>
      <c r="E44" s="32">
        <v>2.4710000000000001</v>
      </c>
      <c r="F44" s="32">
        <v>1.05</v>
      </c>
      <c r="G44" s="32"/>
      <c r="H44" s="32"/>
      <c r="I44" s="32">
        <v>-0.32</v>
      </c>
      <c r="J44" s="34">
        <v>2.4750000000000001</v>
      </c>
    </row>
    <row r="45" spans="1:10" x14ac:dyDescent="0.35">
      <c r="A45" s="31">
        <v>-3.7309999999999999</v>
      </c>
      <c r="B45" s="32">
        <v>7.1680000000000001</v>
      </c>
      <c r="C45" s="32"/>
      <c r="D45" s="32"/>
      <c r="E45" s="32">
        <v>2.2480000000000002</v>
      </c>
      <c r="F45" s="32">
        <v>1.075</v>
      </c>
      <c r="G45" s="32"/>
      <c r="H45" s="32"/>
      <c r="I45" s="32">
        <v>-0.56999999999999995</v>
      </c>
      <c r="J45" s="34">
        <v>2.5</v>
      </c>
    </row>
    <row r="46" spans="1:10" x14ac:dyDescent="0.35">
      <c r="A46" s="31">
        <v>-3.3439999999999999</v>
      </c>
      <c r="B46" s="32">
        <v>8.1159999999999997</v>
      </c>
      <c r="C46" s="32"/>
      <c r="D46" s="32"/>
      <c r="E46" s="32">
        <v>2.0169999999999999</v>
      </c>
      <c r="F46" s="32">
        <v>1.1000000000000001</v>
      </c>
      <c r="G46" s="32"/>
      <c r="H46" s="32"/>
      <c r="I46" s="32">
        <v>-0.81499999999999995</v>
      </c>
      <c r="J46" s="34">
        <v>2.5249999999999999</v>
      </c>
    </row>
    <row r="47" spans="1:10" x14ac:dyDescent="0.35">
      <c r="A47" s="31">
        <v>-2.9140000000000001</v>
      </c>
      <c r="B47" s="32">
        <v>8.9060000000000006</v>
      </c>
      <c r="C47" s="32"/>
      <c r="D47" s="32"/>
      <c r="E47" s="32">
        <v>1.7809999999999999</v>
      </c>
      <c r="F47" s="32">
        <v>1.125</v>
      </c>
      <c r="G47" s="32"/>
      <c r="H47" s="32"/>
      <c r="I47" s="32">
        <v>-1.052</v>
      </c>
      <c r="J47" s="34">
        <v>2.5499999999999998</v>
      </c>
    </row>
    <row r="48" spans="1:10" x14ac:dyDescent="0.35">
      <c r="A48" s="31">
        <v>-2.4470000000000001</v>
      </c>
      <c r="B48" s="32">
        <v>9.5299999999999994</v>
      </c>
      <c r="C48" s="32"/>
      <c r="D48" s="32"/>
      <c r="E48" s="32">
        <v>1.5429999999999999</v>
      </c>
      <c r="F48" s="32">
        <v>1.1499999999999999</v>
      </c>
      <c r="G48" s="32"/>
      <c r="H48" s="32"/>
      <c r="I48" s="32">
        <v>-1.2829999999999999</v>
      </c>
      <c r="J48" s="34">
        <v>2.5750000000000002</v>
      </c>
    </row>
    <row r="49" spans="1:10" x14ac:dyDescent="0.35">
      <c r="A49" s="31">
        <v>-1.956</v>
      </c>
      <c r="B49" s="32">
        <v>9.98</v>
      </c>
      <c r="C49" s="32"/>
      <c r="D49" s="32"/>
      <c r="E49" s="32">
        <v>1.2989999999999999</v>
      </c>
      <c r="F49" s="32">
        <v>1.175</v>
      </c>
      <c r="G49" s="32"/>
      <c r="H49" s="32"/>
      <c r="I49" s="32">
        <v>-1.506</v>
      </c>
      <c r="J49" s="34">
        <v>2.6</v>
      </c>
    </row>
    <row r="50" spans="1:10" x14ac:dyDescent="0.35">
      <c r="A50" s="31">
        <v>-1.444</v>
      </c>
      <c r="B50" s="32">
        <v>10.247</v>
      </c>
      <c r="C50" s="32"/>
      <c r="D50" s="32"/>
      <c r="E50" s="32">
        <v>1.056</v>
      </c>
      <c r="F50" s="32">
        <v>1.2</v>
      </c>
      <c r="G50" s="32"/>
      <c r="H50" s="32"/>
      <c r="I50" s="32">
        <v>-1.72</v>
      </c>
      <c r="J50" s="34">
        <v>2.625</v>
      </c>
    </row>
    <row r="51" spans="1:10" x14ac:dyDescent="0.35">
      <c r="A51" s="31">
        <v>-0.92400000000000004</v>
      </c>
      <c r="B51" s="32">
        <v>10.331</v>
      </c>
      <c r="C51" s="32"/>
      <c r="D51" s="32"/>
      <c r="E51" s="32">
        <v>0.81100000000000005</v>
      </c>
      <c r="F51" s="32">
        <v>1.2250000000000001</v>
      </c>
      <c r="G51" s="32"/>
      <c r="H51" s="32"/>
      <c r="I51" s="32">
        <v>-1.9239999999999999</v>
      </c>
      <c r="J51" s="34">
        <v>2.65</v>
      </c>
    </row>
    <row r="52" spans="1:10" x14ac:dyDescent="0.35">
      <c r="A52" s="31">
        <v>-0.40500000000000003</v>
      </c>
      <c r="B52" s="32">
        <v>10.226000000000001</v>
      </c>
      <c r="C52" s="32"/>
      <c r="D52" s="32"/>
      <c r="E52" s="32">
        <v>0.56699999999999995</v>
      </c>
      <c r="F52" s="32">
        <v>1.25</v>
      </c>
      <c r="G52" s="32"/>
      <c r="H52" s="32"/>
      <c r="I52" s="32">
        <v>-2.1160000000000001</v>
      </c>
      <c r="J52" s="34">
        <v>2.6749999999999998</v>
      </c>
    </row>
    <row r="53" spans="1:10" x14ac:dyDescent="0.35">
      <c r="A53" s="31">
        <v>0.105</v>
      </c>
      <c r="B53" s="32">
        <v>9.9480000000000004</v>
      </c>
      <c r="C53" s="32"/>
      <c r="D53" s="32"/>
      <c r="E53" s="32">
        <v>0.32400000000000001</v>
      </c>
      <c r="F53" s="32">
        <v>1.2749999999999999</v>
      </c>
      <c r="G53" s="32"/>
      <c r="H53" s="32"/>
      <c r="I53" s="32">
        <v>-2.298</v>
      </c>
      <c r="J53" s="34">
        <v>2.7</v>
      </c>
    </row>
    <row r="54" spans="1:10" x14ac:dyDescent="0.35">
      <c r="A54" s="31">
        <v>0.59499999999999997</v>
      </c>
      <c r="B54" s="32">
        <v>9.5139999999999993</v>
      </c>
      <c r="C54" s="32"/>
      <c r="D54" s="32"/>
      <c r="E54" s="32">
        <v>8.3000000000000004E-2</v>
      </c>
      <c r="F54" s="32">
        <v>1.3</v>
      </c>
      <c r="G54" s="32"/>
      <c r="H54" s="32"/>
      <c r="I54" s="32">
        <v>-2.468</v>
      </c>
      <c r="J54" s="34">
        <v>2.7250000000000001</v>
      </c>
    </row>
    <row r="55" spans="1:10" x14ac:dyDescent="0.35">
      <c r="A55" s="31">
        <v>1.06</v>
      </c>
      <c r="B55" s="32">
        <v>8.9380000000000006</v>
      </c>
      <c r="C55" s="32"/>
      <c r="D55" s="32"/>
      <c r="E55" s="32">
        <v>-0.154</v>
      </c>
      <c r="F55" s="32">
        <v>1.325</v>
      </c>
      <c r="G55" s="32"/>
      <c r="H55" s="32"/>
      <c r="I55" s="32">
        <v>-2.625</v>
      </c>
      <c r="J55" s="34">
        <v>2.75</v>
      </c>
    </row>
    <row r="56" spans="1:10" x14ac:dyDescent="0.35">
      <c r="A56" s="31">
        <v>1.494</v>
      </c>
      <c r="B56" s="32">
        <v>8.2309999999999999</v>
      </c>
      <c r="C56" s="32"/>
      <c r="D56" s="32"/>
      <c r="E56" s="32">
        <v>-0.38800000000000001</v>
      </c>
      <c r="F56" s="32">
        <v>1.35</v>
      </c>
      <c r="G56" s="32"/>
      <c r="H56" s="32"/>
      <c r="I56" s="32">
        <v>-2.7679999999999998</v>
      </c>
      <c r="J56" s="34">
        <v>2.7749999999999999</v>
      </c>
    </row>
    <row r="57" spans="1:10" x14ac:dyDescent="0.35">
      <c r="A57" s="31">
        <v>1.8879999999999999</v>
      </c>
      <c r="B57" s="32">
        <v>7.3979999999999997</v>
      </c>
      <c r="C57" s="32"/>
      <c r="D57" s="32"/>
      <c r="E57" s="32">
        <v>-0.61599999999999999</v>
      </c>
      <c r="F57" s="32">
        <v>1.375</v>
      </c>
      <c r="G57" s="32"/>
      <c r="H57" s="32"/>
      <c r="I57" s="32">
        <v>-2.9</v>
      </c>
      <c r="J57" s="34">
        <v>2.8</v>
      </c>
    </row>
    <row r="58" spans="1:10" x14ac:dyDescent="0.35">
      <c r="A58" s="31">
        <v>2.2370000000000001</v>
      </c>
      <c r="B58" s="32">
        <v>6.4660000000000002</v>
      </c>
      <c r="C58" s="32"/>
      <c r="D58" s="32"/>
      <c r="E58" s="32">
        <v>-0.83699999999999997</v>
      </c>
      <c r="F58" s="32">
        <v>1.4</v>
      </c>
      <c r="G58" s="32"/>
      <c r="H58" s="32"/>
      <c r="I58" s="32">
        <v>-3.016</v>
      </c>
      <c r="J58" s="34">
        <v>2.8250000000000002</v>
      </c>
    </row>
    <row r="59" spans="1:10" x14ac:dyDescent="0.35">
      <c r="A59" s="31">
        <v>2.5369999999999999</v>
      </c>
      <c r="B59" s="32">
        <v>5.4509999999999996</v>
      </c>
      <c r="C59" s="32"/>
      <c r="D59" s="32"/>
      <c r="E59" s="32">
        <v>-1.054</v>
      </c>
      <c r="F59" s="32">
        <v>1.425</v>
      </c>
      <c r="G59" s="32"/>
      <c r="H59" s="32"/>
      <c r="I59" s="32">
        <v>-3.1179999999999999</v>
      </c>
      <c r="J59" s="34">
        <v>2.85</v>
      </c>
    </row>
    <row r="60" spans="1:10" x14ac:dyDescent="0.35">
      <c r="A60" s="31">
        <v>2.7850000000000001</v>
      </c>
      <c r="B60" s="32">
        <v>4.3620000000000001</v>
      </c>
      <c r="C60" s="32"/>
      <c r="D60" s="32"/>
      <c r="E60" s="32">
        <v>-1.2609999999999999</v>
      </c>
      <c r="F60" s="32">
        <v>1.45</v>
      </c>
      <c r="G60" s="32"/>
      <c r="H60" s="32"/>
      <c r="I60" s="32">
        <v>-3.206</v>
      </c>
      <c r="J60" s="34">
        <v>2.875</v>
      </c>
    </row>
    <row r="61" spans="1:10" x14ac:dyDescent="0.35">
      <c r="A61" s="31">
        <v>2.9750000000000001</v>
      </c>
      <c r="B61" s="32">
        <v>3.2149999999999999</v>
      </c>
      <c r="C61" s="32"/>
      <c r="D61" s="32"/>
      <c r="E61" s="32">
        <v>-1.4610000000000001</v>
      </c>
      <c r="F61" s="32">
        <v>1.4750000000000001</v>
      </c>
      <c r="G61" s="32"/>
      <c r="H61" s="32"/>
      <c r="I61" s="32">
        <v>-3.278</v>
      </c>
      <c r="J61" s="34">
        <v>2.9</v>
      </c>
    </row>
    <row r="62" spans="1:10" x14ac:dyDescent="0.35">
      <c r="A62" s="31">
        <v>3.1070000000000002</v>
      </c>
      <c r="B62" s="32">
        <v>2.0419999999999998</v>
      </c>
      <c r="C62" s="32"/>
      <c r="D62" s="32"/>
      <c r="E62" s="32">
        <v>-1.651</v>
      </c>
      <c r="F62" s="32">
        <v>1.5</v>
      </c>
      <c r="G62" s="32"/>
      <c r="H62" s="32"/>
      <c r="I62" s="32">
        <v>-3.335</v>
      </c>
      <c r="J62" s="34">
        <v>2.9249999999999998</v>
      </c>
    </row>
    <row r="63" spans="1:10" x14ac:dyDescent="0.35">
      <c r="A63" s="31">
        <v>3.1789999999999998</v>
      </c>
      <c r="B63" s="32">
        <v>0.85899999999999999</v>
      </c>
      <c r="C63" s="32"/>
      <c r="D63" s="32"/>
      <c r="E63" s="32">
        <v>-1.8320000000000001</v>
      </c>
      <c r="F63" s="32">
        <v>1.5249999999999999</v>
      </c>
      <c r="G63" s="32"/>
      <c r="H63" s="32"/>
      <c r="I63" s="32">
        <v>-3.3769999999999998</v>
      </c>
      <c r="J63" s="34">
        <v>2.95</v>
      </c>
    </row>
    <row r="64" spans="1:10" x14ac:dyDescent="0.35">
      <c r="A64" s="31">
        <v>3.1930000000000001</v>
      </c>
      <c r="B64" s="32">
        <v>-0.314</v>
      </c>
      <c r="C64" s="32"/>
      <c r="D64" s="32"/>
      <c r="E64" s="32">
        <v>-2.0009999999999999</v>
      </c>
      <c r="F64" s="32">
        <v>1.55</v>
      </c>
      <c r="G64" s="32"/>
      <c r="H64" s="32"/>
      <c r="I64" s="32">
        <v>-3.4039999999999999</v>
      </c>
      <c r="J64" s="34">
        <v>2.9750000000000001</v>
      </c>
    </row>
    <row r="65" spans="1:10" x14ac:dyDescent="0.35">
      <c r="A65" s="31">
        <v>3.1459999999999999</v>
      </c>
      <c r="B65" s="32">
        <v>-1.4450000000000001</v>
      </c>
      <c r="C65" s="32"/>
      <c r="D65" s="32"/>
      <c r="E65" s="32">
        <v>-2.16</v>
      </c>
      <c r="F65" s="32">
        <v>1.575</v>
      </c>
      <c r="G65" s="32"/>
      <c r="H65" s="32"/>
      <c r="I65" s="32">
        <v>-3.415</v>
      </c>
      <c r="J65" s="34">
        <v>3</v>
      </c>
    </row>
    <row r="66" spans="1:10" x14ac:dyDescent="0.35">
      <c r="A66" s="31">
        <v>3.0459999999999998</v>
      </c>
      <c r="B66" s="32">
        <v>-2.508</v>
      </c>
      <c r="C66" s="32"/>
      <c r="D66" s="32"/>
      <c r="E66" s="32">
        <v>-2.306</v>
      </c>
      <c r="F66" s="32">
        <v>1.6</v>
      </c>
      <c r="G66" s="32"/>
      <c r="H66" s="32"/>
      <c r="I66" s="32">
        <v>-3.4129999999999998</v>
      </c>
      <c r="J66" s="34">
        <v>3.0249999999999999</v>
      </c>
    </row>
    <row r="67" spans="1:10" x14ac:dyDescent="0.35">
      <c r="A67" s="31">
        <v>2.8929999999999998</v>
      </c>
      <c r="B67" s="32">
        <v>-3.492</v>
      </c>
      <c r="C67" s="32"/>
      <c r="D67" s="32"/>
      <c r="E67" s="32">
        <v>-2.4409999999999998</v>
      </c>
      <c r="F67" s="32">
        <v>1.625</v>
      </c>
      <c r="G67" s="32"/>
      <c r="H67" s="32"/>
      <c r="I67" s="32">
        <v>-3.3940000000000001</v>
      </c>
      <c r="J67" s="34">
        <v>3.05</v>
      </c>
    </row>
    <row r="68" spans="1:10" x14ac:dyDescent="0.35">
      <c r="A68" s="31">
        <v>2.694</v>
      </c>
      <c r="B68" s="32">
        <v>-4.3979999999999997</v>
      </c>
      <c r="C68" s="32"/>
      <c r="D68" s="32"/>
      <c r="E68" s="32">
        <v>-2.5640000000000001</v>
      </c>
      <c r="F68" s="32">
        <v>1.65</v>
      </c>
      <c r="G68" s="32"/>
      <c r="H68" s="32"/>
      <c r="I68" s="32">
        <v>-3.36</v>
      </c>
      <c r="J68" s="34">
        <v>3.0750000000000002</v>
      </c>
    </row>
    <row r="69" spans="1:10" x14ac:dyDescent="0.35">
      <c r="A69" s="31">
        <v>2.4500000000000002</v>
      </c>
      <c r="B69" s="32">
        <v>-5.2050000000000001</v>
      </c>
      <c r="C69" s="32"/>
      <c r="D69" s="32"/>
      <c r="E69" s="32">
        <v>-2.6720000000000002</v>
      </c>
      <c r="F69" s="32">
        <v>1.675</v>
      </c>
      <c r="G69" s="32"/>
      <c r="H69" s="32"/>
      <c r="I69" s="32">
        <v>-3.3130000000000002</v>
      </c>
      <c r="J69" s="34">
        <v>3.1</v>
      </c>
    </row>
    <row r="70" spans="1:10" x14ac:dyDescent="0.35">
      <c r="A70" s="31">
        <v>2.169</v>
      </c>
      <c r="B70" s="32">
        <v>-5.9059999999999997</v>
      </c>
      <c r="C70" s="32"/>
      <c r="D70" s="32"/>
      <c r="E70" s="32">
        <v>-2.7679999999999998</v>
      </c>
      <c r="F70" s="32">
        <v>1.7</v>
      </c>
      <c r="G70" s="32"/>
      <c r="H70" s="32"/>
      <c r="I70" s="32">
        <v>-3.2530000000000001</v>
      </c>
      <c r="J70" s="34">
        <v>3.125</v>
      </c>
    </row>
    <row r="71" spans="1:10" x14ac:dyDescent="0.35">
      <c r="A71" s="31">
        <v>1.857</v>
      </c>
      <c r="B71" s="32">
        <v>-6.4870000000000001</v>
      </c>
      <c r="C71" s="32"/>
      <c r="D71" s="32"/>
      <c r="E71" s="32">
        <v>-2.851</v>
      </c>
      <c r="F71" s="32">
        <v>1.7250000000000001</v>
      </c>
      <c r="G71" s="32"/>
      <c r="H71" s="32"/>
      <c r="I71" s="32">
        <v>-3.181</v>
      </c>
      <c r="J71" s="34">
        <v>3.15</v>
      </c>
    </row>
    <row r="72" spans="1:10" x14ac:dyDescent="0.35">
      <c r="A72" s="31">
        <v>1.516</v>
      </c>
      <c r="B72" s="32">
        <v>-6.9429999999999996</v>
      </c>
      <c r="C72" s="32"/>
      <c r="D72" s="32"/>
      <c r="E72" s="32">
        <v>-2.92</v>
      </c>
      <c r="F72" s="32">
        <v>1.75</v>
      </c>
      <c r="G72" s="32"/>
      <c r="H72" s="32"/>
      <c r="I72" s="32">
        <v>-3.0939999999999999</v>
      </c>
      <c r="J72" s="34">
        <v>3.1749999999999998</v>
      </c>
    </row>
    <row r="73" spans="1:10" x14ac:dyDescent="0.35">
      <c r="A73" s="31">
        <v>1.1579999999999999</v>
      </c>
      <c r="B73" s="32">
        <v>-7.2619999999999996</v>
      </c>
      <c r="C73" s="32"/>
      <c r="D73" s="32"/>
      <c r="E73" s="32">
        <v>-2.9740000000000002</v>
      </c>
      <c r="F73" s="32">
        <v>1.7749999999999999</v>
      </c>
      <c r="G73" s="32"/>
      <c r="H73" s="32"/>
      <c r="I73" s="32">
        <v>-2.9969999999999999</v>
      </c>
      <c r="J73" s="34">
        <v>3.2</v>
      </c>
    </row>
    <row r="74" spans="1:10" x14ac:dyDescent="0.35">
      <c r="A74" s="31">
        <v>0.78500000000000003</v>
      </c>
      <c r="B74" s="32">
        <v>-7.4509999999999996</v>
      </c>
      <c r="C74" s="32"/>
      <c r="D74" s="32"/>
      <c r="E74" s="32">
        <v>-3.0139999999999998</v>
      </c>
      <c r="F74" s="32">
        <v>1.8</v>
      </c>
      <c r="G74" s="32"/>
      <c r="H74" s="32"/>
      <c r="I74" s="32">
        <v>-2.8889999999999998</v>
      </c>
      <c r="J74" s="34">
        <v>3.2250000000000001</v>
      </c>
    </row>
    <row r="75" spans="1:10" x14ac:dyDescent="0.35">
      <c r="A75" s="31">
        <v>0.40799999999999997</v>
      </c>
      <c r="B75" s="32">
        <v>-7.5140000000000002</v>
      </c>
      <c r="C75" s="32"/>
      <c r="D75" s="32"/>
      <c r="E75" s="32">
        <v>-3.0409999999999999</v>
      </c>
      <c r="F75" s="32">
        <v>1.825</v>
      </c>
      <c r="G75" s="32"/>
      <c r="H75" s="32"/>
      <c r="I75" s="32">
        <v>-2.7690000000000001</v>
      </c>
      <c r="J75" s="34">
        <v>3.25</v>
      </c>
    </row>
    <row r="76" spans="1:10" x14ac:dyDescent="0.35">
      <c r="A76" s="31">
        <v>0.03</v>
      </c>
      <c r="B76" s="32">
        <v>-7.4459999999999997</v>
      </c>
      <c r="C76" s="32"/>
      <c r="D76" s="32"/>
      <c r="E76" s="32">
        <v>-3.0539999999999998</v>
      </c>
      <c r="F76" s="32">
        <v>1.85</v>
      </c>
      <c r="G76" s="32"/>
      <c r="H76" s="32"/>
      <c r="I76" s="32">
        <v>-2.641</v>
      </c>
      <c r="J76" s="34">
        <v>3.2749999999999999</v>
      </c>
    </row>
    <row r="77" spans="1:10" x14ac:dyDescent="0.35">
      <c r="A77" s="31">
        <v>-0.34100000000000003</v>
      </c>
      <c r="B77" s="32">
        <v>-7.2569999999999997</v>
      </c>
      <c r="C77" s="32"/>
      <c r="D77" s="32"/>
      <c r="E77" s="32">
        <v>-3.052</v>
      </c>
      <c r="F77" s="32">
        <v>1.875</v>
      </c>
      <c r="G77" s="32"/>
      <c r="H77" s="32"/>
      <c r="I77" s="32">
        <v>-2.5009999999999999</v>
      </c>
      <c r="J77" s="34">
        <v>3.3</v>
      </c>
    </row>
    <row r="78" spans="1:10" x14ac:dyDescent="0.35">
      <c r="A78" s="31">
        <v>-0.69899999999999995</v>
      </c>
      <c r="B78" s="32">
        <v>-6.9530000000000003</v>
      </c>
      <c r="C78" s="32"/>
      <c r="D78" s="32"/>
      <c r="E78" s="32">
        <v>-3.036</v>
      </c>
      <c r="F78" s="32">
        <v>1.9</v>
      </c>
      <c r="G78" s="32"/>
      <c r="H78" s="32"/>
      <c r="I78" s="32">
        <v>-2.3530000000000002</v>
      </c>
      <c r="J78" s="34">
        <v>3.3250000000000002</v>
      </c>
    </row>
    <row r="79" spans="1:10" x14ac:dyDescent="0.35">
      <c r="A79" s="31">
        <v>-1.04</v>
      </c>
      <c r="B79" s="32">
        <v>-6.5449999999999999</v>
      </c>
      <c r="C79" s="32"/>
      <c r="D79" s="32"/>
      <c r="E79" s="32">
        <v>-3.008</v>
      </c>
      <c r="F79" s="32">
        <v>1.925</v>
      </c>
      <c r="G79" s="32"/>
      <c r="H79" s="32"/>
      <c r="I79" s="32">
        <v>-2.198</v>
      </c>
      <c r="J79" s="34">
        <v>3.35</v>
      </c>
    </row>
    <row r="80" spans="1:10" x14ac:dyDescent="0.35">
      <c r="A80" s="31">
        <v>-1.357</v>
      </c>
      <c r="B80" s="32">
        <v>-6.032</v>
      </c>
      <c r="C80" s="32"/>
      <c r="D80" s="32"/>
      <c r="E80" s="32">
        <v>-2.9660000000000002</v>
      </c>
      <c r="F80" s="32">
        <v>1.95</v>
      </c>
      <c r="G80" s="32"/>
      <c r="H80" s="32"/>
      <c r="I80" s="32">
        <v>-2.0339999999999998</v>
      </c>
      <c r="J80" s="34">
        <v>3.375</v>
      </c>
    </row>
    <row r="81" spans="1:10" x14ac:dyDescent="0.35">
      <c r="A81" s="31">
        <v>-1.6459999999999999</v>
      </c>
      <c r="B81" s="32">
        <v>-5.43</v>
      </c>
      <c r="C81" s="32"/>
      <c r="D81" s="32"/>
      <c r="E81" s="32">
        <v>-2.9119999999999999</v>
      </c>
      <c r="F81" s="32">
        <v>1.9750000000000001</v>
      </c>
      <c r="G81" s="32"/>
      <c r="H81" s="32"/>
      <c r="I81" s="32">
        <v>-1.865</v>
      </c>
      <c r="J81" s="34">
        <v>3.4</v>
      </c>
    </row>
    <row r="82" spans="1:10" x14ac:dyDescent="0.35">
      <c r="A82" s="31">
        <v>-1.9019999999999999</v>
      </c>
      <c r="B82" s="32">
        <v>-4.7489999999999997</v>
      </c>
      <c r="C82" s="32"/>
      <c r="D82" s="32"/>
      <c r="E82" s="32">
        <v>-2.8460000000000001</v>
      </c>
      <c r="F82" s="32">
        <v>2</v>
      </c>
      <c r="G82" s="32"/>
      <c r="H82" s="32"/>
      <c r="I82" s="32">
        <v>-1.6890000000000001</v>
      </c>
      <c r="J82" s="34">
        <v>3.4249999999999998</v>
      </c>
    </row>
    <row r="83" spans="1:10" x14ac:dyDescent="0.35">
      <c r="A83" s="31">
        <v>-2.1240000000000001</v>
      </c>
      <c r="B83" s="32">
        <v>-4.0110000000000001</v>
      </c>
      <c r="C83" s="32"/>
      <c r="D83" s="32"/>
      <c r="E83" s="32">
        <v>-2.7679999999999998</v>
      </c>
      <c r="F83" s="32">
        <v>2.0249999999999999</v>
      </c>
      <c r="G83" s="32"/>
      <c r="H83" s="32"/>
      <c r="I83" s="32">
        <v>-1.51</v>
      </c>
      <c r="J83" s="34">
        <v>3.45</v>
      </c>
    </row>
    <row r="84" spans="1:10" x14ac:dyDescent="0.35">
      <c r="A84" s="31">
        <v>-2.3039999999999998</v>
      </c>
      <c r="B84" s="32">
        <v>-3.2250000000000001</v>
      </c>
      <c r="C84" s="32"/>
      <c r="D84" s="32"/>
      <c r="E84" s="32">
        <v>-2.6779999999999999</v>
      </c>
      <c r="F84" s="32">
        <v>2.0499999999999998</v>
      </c>
      <c r="G84" s="32"/>
      <c r="H84" s="32"/>
      <c r="I84" s="32">
        <v>-1.3240000000000001</v>
      </c>
      <c r="J84" s="34">
        <v>3.4750000000000001</v>
      </c>
    </row>
    <row r="85" spans="1:10" x14ac:dyDescent="0.35">
      <c r="A85" s="31">
        <v>-2.4470000000000001</v>
      </c>
      <c r="B85" s="32">
        <v>-2.403</v>
      </c>
      <c r="C85" s="32"/>
      <c r="D85" s="32"/>
      <c r="E85" s="32">
        <v>-2.5790000000000002</v>
      </c>
      <c r="F85" s="32">
        <v>2.0750000000000002</v>
      </c>
      <c r="G85" s="32"/>
      <c r="H85" s="32"/>
      <c r="I85" s="32">
        <v>-1.137</v>
      </c>
      <c r="J85" s="34">
        <v>3.5</v>
      </c>
    </row>
    <row r="86" spans="1:10" x14ac:dyDescent="0.35">
      <c r="A86" s="31">
        <v>-2.5459999999999998</v>
      </c>
      <c r="B86" s="32">
        <v>-1.56</v>
      </c>
      <c r="C86" s="32"/>
      <c r="D86" s="32"/>
      <c r="E86" s="32">
        <v>-2.4689999999999999</v>
      </c>
      <c r="F86" s="32">
        <v>2.1</v>
      </c>
      <c r="G86" s="32"/>
      <c r="H86" s="32"/>
      <c r="I86" s="32">
        <v>-0.94699999999999995</v>
      </c>
      <c r="J86" s="34">
        <v>3.5249999999999999</v>
      </c>
    </row>
    <row r="87" spans="1:10" x14ac:dyDescent="0.35">
      <c r="A87" s="31">
        <v>-2.6030000000000002</v>
      </c>
      <c r="B87" s="32">
        <v>-0.71199999999999997</v>
      </c>
      <c r="C87" s="32"/>
      <c r="D87" s="32"/>
      <c r="E87" s="32">
        <v>-2.35</v>
      </c>
      <c r="F87" s="32">
        <v>2.125</v>
      </c>
      <c r="G87" s="32"/>
      <c r="H87" s="32"/>
      <c r="I87" s="32">
        <v>-0.75600000000000001</v>
      </c>
      <c r="J87" s="34">
        <v>3.55</v>
      </c>
    </row>
    <row r="88" spans="1:10" x14ac:dyDescent="0.35">
      <c r="A88" s="31">
        <v>-2.617</v>
      </c>
      <c r="B88" s="32">
        <v>0.126</v>
      </c>
      <c r="C88" s="32"/>
      <c r="D88" s="32"/>
      <c r="E88" s="32">
        <v>-2.2210000000000001</v>
      </c>
      <c r="F88" s="32">
        <v>2.15</v>
      </c>
      <c r="G88" s="32"/>
      <c r="H88" s="32"/>
      <c r="I88" s="32">
        <v>-0.56200000000000006</v>
      </c>
      <c r="J88" s="34">
        <v>3.5750000000000002</v>
      </c>
    </row>
    <row r="89" spans="1:10" x14ac:dyDescent="0.35">
      <c r="A89" s="31">
        <v>-2.59</v>
      </c>
      <c r="B89" s="32">
        <v>0.94199999999999995</v>
      </c>
      <c r="C89" s="32"/>
      <c r="D89" s="32"/>
      <c r="E89" s="32">
        <v>-2.0840000000000001</v>
      </c>
      <c r="F89" s="32">
        <v>2.1749999999999998</v>
      </c>
      <c r="G89" s="32"/>
      <c r="H89" s="32"/>
      <c r="I89" s="32">
        <v>-0.371</v>
      </c>
      <c r="J89" s="34">
        <v>3.6</v>
      </c>
    </row>
    <row r="90" spans="1:10" x14ac:dyDescent="0.35">
      <c r="A90" s="31">
        <v>-2.5209999999999999</v>
      </c>
      <c r="B90" s="32">
        <v>1.7170000000000001</v>
      </c>
      <c r="C90" s="32"/>
      <c r="D90" s="32"/>
      <c r="E90" s="32">
        <v>-1.94</v>
      </c>
      <c r="F90" s="32">
        <v>2.2000000000000002</v>
      </c>
      <c r="G90" s="32"/>
      <c r="H90" s="32"/>
      <c r="I90" s="32">
        <v>-0.17899999999999999</v>
      </c>
      <c r="J90" s="34">
        <v>3.625</v>
      </c>
    </row>
    <row r="91" spans="1:10" x14ac:dyDescent="0.35">
      <c r="A91" s="31">
        <v>-2.4159999999999999</v>
      </c>
      <c r="B91" s="32">
        <v>2.44</v>
      </c>
      <c r="C91" s="32"/>
      <c r="D91" s="32"/>
      <c r="E91" s="32">
        <v>-1.7889999999999999</v>
      </c>
      <c r="F91" s="32">
        <v>2.2250000000000001</v>
      </c>
      <c r="G91" s="32"/>
      <c r="H91" s="32"/>
      <c r="I91" s="32">
        <v>8.9999999999999993E-3</v>
      </c>
      <c r="J91" s="34">
        <v>3.65</v>
      </c>
    </row>
    <row r="92" spans="1:10" x14ac:dyDescent="0.35">
      <c r="A92" s="31">
        <v>-2.2759999999999998</v>
      </c>
      <c r="B92" s="32">
        <v>3.1</v>
      </c>
      <c r="C92" s="32"/>
      <c r="D92" s="32"/>
      <c r="E92" s="32">
        <v>-1.6319999999999999</v>
      </c>
      <c r="F92" s="32">
        <v>2.25</v>
      </c>
      <c r="G92" s="32"/>
      <c r="H92" s="32"/>
      <c r="I92" s="32">
        <v>0.19600000000000001</v>
      </c>
      <c r="J92" s="34">
        <v>3.6749999999999998</v>
      </c>
    </row>
    <row r="93" spans="1:10" x14ac:dyDescent="0.35">
      <c r="A93" s="31">
        <v>-2.1030000000000002</v>
      </c>
      <c r="B93" s="32">
        <v>3.6909999999999998</v>
      </c>
      <c r="C93" s="32"/>
      <c r="D93" s="32"/>
      <c r="E93" s="32">
        <v>-1.4690000000000001</v>
      </c>
      <c r="F93" s="32">
        <v>2.2749999999999999</v>
      </c>
      <c r="G93" s="32"/>
      <c r="H93" s="32"/>
      <c r="I93" s="32">
        <v>0.38</v>
      </c>
      <c r="J93" s="34">
        <v>3.7</v>
      </c>
    </row>
    <row r="94" spans="1:10" x14ac:dyDescent="0.35">
      <c r="A94" s="31">
        <v>-1.9039999999999999</v>
      </c>
      <c r="B94" s="32">
        <v>4.2050000000000001</v>
      </c>
      <c r="C94" s="32"/>
      <c r="D94" s="32"/>
      <c r="E94" s="32">
        <v>-1.3009999999999999</v>
      </c>
      <c r="F94" s="32">
        <v>2.2999999999999998</v>
      </c>
      <c r="G94" s="32"/>
      <c r="H94" s="32"/>
      <c r="I94" s="32">
        <v>0.55900000000000005</v>
      </c>
      <c r="J94" s="34">
        <v>3.7250000000000001</v>
      </c>
    </row>
    <row r="95" spans="1:10" x14ac:dyDescent="0.35">
      <c r="A95" s="31">
        <v>-1.681</v>
      </c>
      <c r="B95" s="32">
        <v>4.6390000000000002</v>
      </c>
      <c r="C95" s="32"/>
      <c r="D95" s="32"/>
      <c r="E95" s="32">
        <v>-1.129</v>
      </c>
      <c r="F95" s="32">
        <v>2.3250000000000002</v>
      </c>
      <c r="G95" s="32"/>
      <c r="H95" s="32"/>
      <c r="I95" s="32">
        <v>0.73399999999999999</v>
      </c>
      <c r="J95" s="34">
        <v>3.75</v>
      </c>
    </row>
    <row r="96" spans="1:10" x14ac:dyDescent="0.35">
      <c r="A96" s="31">
        <v>-1.4370000000000001</v>
      </c>
      <c r="B96" s="32">
        <v>4.99</v>
      </c>
      <c r="C96" s="32"/>
      <c r="D96" s="32"/>
      <c r="E96" s="32">
        <v>-0.95499999999999996</v>
      </c>
      <c r="F96" s="32">
        <v>2.35</v>
      </c>
      <c r="G96" s="32"/>
      <c r="H96" s="32"/>
      <c r="I96" s="32">
        <v>0.90200000000000002</v>
      </c>
      <c r="J96" s="34">
        <v>3.7749999999999999</v>
      </c>
    </row>
    <row r="97" spans="1:10" x14ac:dyDescent="0.35">
      <c r="A97" s="31">
        <v>-1.1779999999999999</v>
      </c>
      <c r="B97" s="32">
        <v>5.2460000000000004</v>
      </c>
      <c r="C97" s="32"/>
      <c r="D97" s="32"/>
      <c r="E97" s="32">
        <v>-0.77800000000000002</v>
      </c>
      <c r="F97" s="32">
        <v>2.375</v>
      </c>
      <c r="G97" s="32"/>
      <c r="H97" s="32"/>
      <c r="I97" s="32">
        <v>1.0649999999999999</v>
      </c>
      <c r="J97" s="34">
        <v>3.8</v>
      </c>
    </row>
    <row r="98" spans="1:10" x14ac:dyDescent="0.35">
      <c r="A98" s="31">
        <v>-0.90900000000000003</v>
      </c>
      <c r="B98" s="32">
        <v>5.4039999999999999</v>
      </c>
      <c r="C98" s="32"/>
      <c r="D98" s="32"/>
      <c r="E98" s="32">
        <v>-0.59799999999999998</v>
      </c>
      <c r="F98" s="32">
        <v>2.4</v>
      </c>
      <c r="G98" s="32"/>
      <c r="H98" s="32"/>
      <c r="I98" s="32">
        <v>1.2210000000000001</v>
      </c>
      <c r="J98" s="34">
        <v>3.8250000000000002</v>
      </c>
    </row>
    <row r="99" spans="1:10" x14ac:dyDescent="0.35">
      <c r="A99" s="31">
        <v>-0.63500000000000001</v>
      </c>
      <c r="B99" s="32">
        <v>5.4660000000000002</v>
      </c>
      <c r="C99" s="32"/>
      <c r="D99" s="32"/>
      <c r="E99" s="32">
        <v>-0.41899999999999998</v>
      </c>
      <c r="F99" s="32">
        <v>2.4249999999999998</v>
      </c>
      <c r="G99" s="32"/>
      <c r="H99" s="32"/>
      <c r="I99" s="32">
        <v>1.37</v>
      </c>
      <c r="J99" s="34">
        <v>3.85</v>
      </c>
    </row>
    <row r="100" spans="1:10" x14ac:dyDescent="0.35">
      <c r="A100" s="31">
        <v>-0.36</v>
      </c>
      <c r="B100" s="32">
        <v>5.43</v>
      </c>
      <c r="C100" s="32"/>
      <c r="D100" s="32"/>
      <c r="E100" s="32">
        <v>-0.23899999999999999</v>
      </c>
      <c r="F100" s="32">
        <v>2.4500000000000002</v>
      </c>
      <c r="G100" s="32"/>
      <c r="H100" s="32"/>
      <c r="I100" s="32">
        <v>1.5109999999999999</v>
      </c>
      <c r="J100" s="34">
        <v>3.875</v>
      </c>
    </row>
    <row r="101" spans="1:10" x14ac:dyDescent="0.35">
      <c r="A101" s="31">
        <v>-8.7999999999999995E-2</v>
      </c>
      <c r="B101" s="32">
        <v>5.2990000000000004</v>
      </c>
      <c r="C101" s="32"/>
      <c r="D101" s="32"/>
      <c r="E101" s="32">
        <v>-0.06</v>
      </c>
      <c r="F101" s="32">
        <v>2.4750000000000001</v>
      </c>
      <c r="G101" s="32"/>
      <c r="H101" s="32"/>
      <c r="I101" s="32">
        <v>1.643</v>
      </c>
      <c r="J101" s="34">
        <v>3.9</v>
      </c>
    </row>
    <row r="102" spans="1:10" x14ac:dyDescent="0.35">
      <c r="A102" s="31">
        <v>0.17299999999999999</v>
      </c>
      <c r="B102" s="32">
        <v>5.0839999999999996</v>
      </c>
      <c r="C102" s="32"/>
      <c r="D102" s="32"/>
      <c r="E102" s="32">
        <v>0.11600000000000001</v>
      </c>
      <c r="F102" s="32">
        <v>2.5</v>
      </c>
      <c r="G102" s="32"/>
      <c r="H102" s="32"/>
      <c r="I102" s="32">
        <v>1.7669999999999999</v>
      </c>
      <c r="J102" s="34">
        <v>3.9249999999999998</v>
      </c>
    </row>
    <row r="103" spans="1:10" x14ac:dyDescent="0.35">
      <c r="A103" s="31">
        <v>0.42299999999999999</v>
      </c>
      <c r="B103" s="32">
        <v>4.7910000000000004</v>
      </c>
      <c r="C103" s="32"/>
      <c r="D103" s="32"/>
      <c r="E103" s="32">
        <v>0.29099999999999998</v>
      </c>
      <c r="F103" s="32">
        <v>2.5249999999999999</v>
      </c>
      <c r="G103" s="32"/>
      <c r="H103" s="32"/>
      <c r="I103" s="32">
        <v>1.8819999999999999</v>
      </c>
      <c r="J103" s="34">
        <v>3.95</v>
      </c>
    </row>
    <row r="104" spans="1:10" x14ac:dyDescent="0.35">
      <c r="A104" s="31">
        <v>0.65500000000000003</v>
      </c>
      <c r="B104" s="32">
        <v>4.4240000000000004</v>
      </c>
      <c r="C104" s="32"/>
      <c r="D104" s="32"/>
      <c r="E104" s="32">
        <v>0.46300000000000002</v>
      </c>
      <c r="F104" s="32">
        <v>2.5499999999999998</v>
      </c>
      <c r="G104" s="32"/>
      <c r="H104" s="32"/>
      <c r="I104" s="32">
        <v>1.9870000000000001</v>
      </c>
      <c r="J104" s="34">
        <v>3.9750000000000001</v>
      </c>
    </row>
    <row r="105" spans="1:10" x14ac:dyDescent="0.35">
      <c r="A105" s="31">
        <v>0.86699999999999999</v>
      </c>
      <c r="B105" s="32">
        <v>3.99</v>
      </c>
      <c r="C105" s="32"/>
      <c r="D105" s="32"/>
      <c r="E105" s="32">
        <v>0.63</v>
      </c>
      <c r="F105" s="32">
        <v>2.5750000000000002</v>
      </c>
      <c r="G105" s="32"/>
      <c r="H105" s="32"/>
      <c r="I105" s="32">
        <v>2.0830000000000002</v>
      </c>
      <c r="J105" s="34">
        <v>4</v>
      </c>
    </row>
    <row r="106" spans="1:10" x14ac:dyDescent="0.35">
      <c r="A106" s="31">
        <v>1.056</v>
      </c>
      <c r="B106" s="32">
        <v>3.5030000000000001</v>
      </c>
      <c r="C106" s="32"/>
      <c r="D106" s="32"/>
      <c r="E106" s="32">
        <v>0.79500000000000004</v>
      </c>
      <c r="F106" s="32">
        <v>2.6</v>
      </c>
      <c r="G106" s="32"/>
      <c r="H106" s="32"/>
      <c r="I106" s="32">
        <v>2.169</v>
      </c>
      <c r="J106" s="34">
        <v>4.0250000000000004</v>
      </c>
    </row>
    <row r="107" spans="1:10" x14ac:dyDescent="0.35">
      <c r="A107" s="31">
        <v>1.2190000000000001</v>
      </c>
      <c r="B107" s="32">
        <v>2.9689999999999999</v>
      </c>
      <c r="C107" s="32"/>
      <c r="D107" s="32"/>
      <c r="E107" s="32">
        <v>0.95199999999999996</v>
      </c>
      <c r="F107" s="32">
        <v>2.625</v>
      </c>
      <c r="G107" s="32"/>
      <c r="H107" s="32"/>
      <c r="I107" s="32">
        <v>2.2450000000000001</v>
      </c>
      <c r="J107" s="34">
        <v>4.05</v>
      </c>
    </row>
    <row r="108" spans="1:10" x14ac:dyDescent="0.35">
      <c r="A108" s="31">
        <v>1.3540000000000001</v>
      </c>
      <c r="B108" s="32">
        <v>2.3980000000000001</v>
      </c>
      <c r="C108" s="32"/>
      <c r="D108" s="32"/>
      <c r="E108" s="32">
        <v>1.1060000000000001</v>
      </c>
      <c r="F108" s="32">
        <v>2.65</v>
      </c>
      <c r="G108" s="32"/>
      <c r="H108" s="32"/>
      <c r="I108" s="32">
        <v>2.3090000000000002</v>
      </c>
      <c r="J108" s="34">
        <v>4.0750000000000002</v>
      </c>
    </row>
    <row r="109" spans="1:10" x14ac:dyDescent="0.35">
      <c r="A109" s="31">
        <v>1.4590000000000001</v>
      </c>
      <c r="B109" s="32">
        <v>1.8009999999999999</v>
      </c>
      <c r="C109" s="32"/>
      <c r="D109" s="32"/>
      <c r="E109" s="32">
        <v>1.252</v>
      </c>
      <c r="F109" s="32">
        <v>2.6749999999999998</v>
      </c>
      <c r="G109" s="32"/>
      <c r="H109" s="32"/>
      <c r="I109" s="32">
        <v>2.3620000000000001</v>
      </c>
      <c r="J109" s="34">
        <v>4.0999999999999996</v>
      </c>
    </row>
    <row r="110" spans="1:10" x14ac:dyDescent="0.35">
      <c r="A110" s="31">
        <v>1.5349999999999999</v>
      </c>
      <c r="B110" s="32">
        <v>1.1890000000000001</v>
      </c>
      <c r="C110" s="32"/>
      <c r="D110" s="32"/>
      <c r="E110" s="32">
        <v>1.3919999999999999</v>
      </c>
      <c r="F110" s="32">
        <v>2.7</v>
      </c>
      <c r="G110" s="32"/>
      <c r="H110" s="32"/>
      <c r="I110" s="32">
        <v>2.4060000000000001</v>
      </c>
      <c r="J110" s="34">
        <v>4.125</v>
      </c>
    </row>
    <row r="111" spans="1:10" x14ac:dyDescent="0.35">
      <c r="A111" s="31">
        <v>1.579</v>
      </c>
      <c r="B111" s="32">
        <v>0.57099999999999995</v>
      </c>
      <c r="C111" s="32"/>
      <c r="D111" s="32"/>
      <c r="E111" s="32">
        <v>1.5249999999999999</v>
      </c>
      <c r="F111" s="32">
        <v>2.7250000000000001</v>
      </c>
      <c r="G111" s="32"/>
      <c r="H111" s="32"/>
      <c r="I111" s="32">
        <v>2.4380000000000002</v>
      </c>
      <c r="J111" s="34">
        <v>4.1500000000000004</v>
      </c>
    </row>
    <row r="112" spans="1:10" x14ac:dyDescent="0.35">
      <c r="A112" s="31">
        <v>1.591</v>
      </c>
      <c r="B112" s="32">
        <v>-3.6999999999999998E-2</v>
      </c>
      <c r="C112" s="32"/>
      <c r="D112" s="32"/>
      <c r="E112" s="32">
        <v>1.649</v>
      </c>
      <c r="F112" s="32">
        <v>2.75</v>
      </c>
      <c r="G112" s="32"/>
      <c r="H112" s="32"/>
      <c r="I112" s="32">
        <v>2.4580000000000002</v>
      </c>
      <c r="J112" s="34">
        <v>4.1749999999999998</v>
      </c>
    </row>
    <row r="113" spans="1:10" x14ac:dyDescent="0.35">
      <c r="A113" s="31">
        <v>1.5740000000000001</v>
      </c>
      <c r="B113" s="32">
        <v>-0.623</v>
      </c>
      <c r="C113" s="32"/>
      <c r="D113" s="32"/>
      <c r="E113" s="32">
        <v>1.7669999999999999</v>
      </c>
      <c r="F113" s="32">
        <v>2.7749999999999999</v>
      </c>
      <c r="G113" s="32"/>
      <c r="H113" s="32"/>
      <c r="I113" s="32">
        <v>2.468</v>
      </c>
      <c r="J113" s="34">
        <v>4.2</v>
      </c>
    </row>
    <row r="114" spans="1:10" x14ac:dyDescent="0.35">
      <c r="A114" s="31">
        <v>1.528</v>
      </c>
      <c r="B114" s="32">
        <v>-1.1830000000000001</v>
      </c>
      <c r="C114" s="32"/>
      <c r="D114" s="32"/>
      <c r="E114" s="32">
        <v>1.8759999999999999</v>
      </c>
      <c r="F114" s="32">
        <v>2.8</v>
      </c>
      <c r="G114" s="32"/>
      <c r="H114" s="32"/>
      <c r="I114" s="32">
        <v>2.4689999999999999</v>
      </c>
      <c r="J114" s="34">
        <v>4.2249999999999996</v>
      </c>
    </row>
    <row r="115" spans="1:10" x14ac:dyDescent="0.35">
      <c r="A115" s="31">
        <v>1.4550000000000001</v>
      </c>
      <c r="B115" s="32">
        <v>-1.702</v>
      </c>
      <c r="C115" s="32"/>
      <c r="D115" s="32"/>
      <c r="E115" s="32">
        <v>1.974</v>
      </c>
      <c r="F115" s="32">
        <v>2.8250000000000002</v>
      </c>
      <c r="G115" s="32"/>
      <c r="H115" s="32"/>
      <c r="I115" s="32">
        <v>2.4569999999999999</v>
      </c>
      <c r="J115" s="34">
        <v>4.25</v>
      </c>
    </row>
    <row r="116" spans="1:10" x14ac:dyDescent="0.35">
      <c r="A116" s="31">
        <v>1.3560000000000001</v>
      </c>
      <c r="B116" s="32">
        <v>-2.173</v>
      </c>
      <c r="C116" s="32"/>
      <c r="D116" s="32"/>
      <c r="E116" s="32">
        <v>2.0640000000000001</v>
      </c>
      <c r="F116" s="32">
        <v>2.85</v>
      </c>
      <c r="G116" s="32"/>
      <c r="H116" s="32"/>
      <c r="I116" s="32">
        <v>2.4350000000000001</v>
      </c>
      <c r="J116" s="34">
        <v>4.2750000000000004</v>
      </c>
    </row>
    <row r="117" spans="1:10" x14ac:dyDescent="0.35">
      <c r="A117" s="31">
        <v>1.236</v>
      </c>
      <c r="B117" s="32">
        <v>-2.5920000000000001</v>
      </c>
      <c r="C117" s="32"/>
      <c r="D117" s="32"/>
      <c r="E117" s="32">
        <v>2.1459999999999999</v>
      </c>
      <c r="F117" s="32">
        <v>2.875</v>
      </c>
      <c r="G117" s="32"/>
      <c r="H117" s="32"/>
      <c r="I117" s="32">
        <v>2.403</v>
      </c>
      <c r="J117" s="34">
        <v>4.3</v>
      </c>
    </row>
    <row r="118" spans="1:10" x14ac:dyDescent="0.35">
      <c r="A118" s="31">
        <v>1.095</v>
      </c>
      <c r="B118" s="32">
        <v>-2.964</v>
      </c>
      <c r="C118" s="32"/>
      <c r="D118" s="32"/>
      <c r="E118" s="32">
        <v>2.218</v>
      </c>
      <c r="F118" s="32">
        <v>2.9</v>
      </c>
      <c r="G118" s="32"/>
      <c r="H118" s="32"/>
      <c r="I118" s="32">
        <v>2.3610000000000002</v>
      </c>
      <c r="J118" s="34">
        <v>4.3250000000000002</v>
      </c>
    </row>
    <row r="119" spans="1:10" x14ac:dyDescent="0.35">
      <c r="A119" s="31">
        <v>0.93799999999999994</v>
      </c>
      <c r="B119" s="32">
        <v>-3.2829999999999999</v>
      </c>
      <c r="C119" s="32"/>
      <c r="D119" s="32"/>
      <c r="E119" s="32">
        <v>2.2789999999999999</v>
      </c>
      <c r="F119" s="32">
        <v>2.9249999999999998</v>
      </c>
      <c r="G119" s="32"/>
      <c r="H119" s="32"/>
      <c r="I119" s="32">
        <v>2.3090000000000002</v>
      </c>
      <c r="J119" s="34">
        <v>4.3499999999999996</v>
      </c>
    </row>
    <row r="120" spans="1:10" x14ac:dyDescent="0.35">
      <c r="A120" s="31">
        <v>0.76500000000000001</v>
      </c>
      <c r="B120" s="32">
        <v>-3.5339999999999998</v>
      </c>
      <c r="C120" s="32"/>
      <c r="D120" s="32"/>
      <c r="E120" s="32">
        <v>2.331</v>
      </c>
      <c r="F120" s="32">
        <v>2.95</v>
      </c>
      <c r="G120" s="32"/>
      <c r="H120" s="32"/>
      <c r="I120" s="32">
        <v>2.2480000000000002</v>
      </c>
      <c r="J120" s="34">
        <v>4.375</v>
      </c>
    </row>
    <row r="121" spans="1:10" x14ac:dyDescent="0.35">
      <c r="A121" s="31">
        <v>0.58099999999999996</v>
      </c>
      <c r="B121" s="32">
        <v>-3.7120000000000002</v>
      </c>
      <c r="C121" s="32"/>
      <c r="D121" s="32"/>
      <c r="E121" s="32">
        <v>2.3719999999999999</v>
      </c>
      <c r="F121" s="32">
        <v>2.9750000000000001</v>
      </c>
      <c r="G121" s="32"/>
      <c r="H121" s="32"/>
      <c r="I121" s="32">
        <v>2.1789999999999998</v>
      </c>
      <c r="J121" s="34">
        <v>4.4000000000000004</v>
      </c>
    </row>
    <row r="122" spans="1:10" x14ac:dyDescent="0.35">
      <c r="A122" s="31">
        <v>0.39100000000000001</v>
      </c>
      <c r="B122" s="32">
        <v>-3.8170000000000002</v>
      </c>
      <c r="C122" s="32"/>
      <c r="D122" s="32"/>
      <c r="E122" s="32">
        <v>2.4049999999999998</v>
      </c>
      <c r="F122" s="32">
        <v>3</v>
      </c>
      <c r="G122" s="32"/>
      <c r="H122" s="32"/>
      <c r="I122" s="32">
        <v>2.1</v>
      </c>
      <c r="J122" s="34">
        <v>4.4249999999999998</v>
      </c>
    </row>
    <row r="123" spans="1:10" x14ac:dyDescent="0.35">
      <c r="A123" s="31"/>
      <c r="B123" s="32"/>
      <c r="C123" s="32"/>
      <c r="D123" s="32"/>
      <c r="E123" s="32">
        <v>2.4249999999999998</v>
      </c>
      <c r="F123" s="32">
        <v>3.0249999999999999</v>
      </c>
      <c r="G123" s="32"/>
      <c r="H123" s="32"/>
      <c r="I123" s="32">
        <v>2.0150000000000001</v>
      </c>
      <c r="J123" s="34">
        <v>4.45</v>
      </c>
    </row>
    <row r="124" spans="1:10" x14ac:dyDescent="0.35">
      <c r="A124" s="31"/>
      <c r="B124" s="32"/>
      <c r="C124" s="32"/>
      <c r="D124" s="32"/>
      <c r="E124" s="32">
        <v>2.4359999999999999</v>
      </c>
      <c r="F124" s="32">
        <v>3.05</v>
      </c>
      <c r="G124" s="32"/>
      <c r="H124" s="32"/>
      <c r="I124" s="32">
        <v>1.921</v>
      </c>
      <c r="J124" s="34">
        <v>4.4749999999999996</v>
      </c>
    </row>
    <row r="125" spans="1:10" x14ac:dyDescent="0.35">
      <c r="A125" s="31"/>
      <c r="B125" s="32"/>
      <c r="C125" s="32"/>
      <c r="D125" s="32"/>
      <c r="E125" s="32">
        <v>2.4380000000000002</v>
      </c>
      <c r="F125" s="32">
        <v>3.0750000000000002</v>
      </c>
      <c r="G125" s="32"/>
      <c r="H125" s="32"/>
      <c r="I125" s="32">
        <v>1.8220000000000001</v>
      </c>
      <c r="J125" s="34">
        <v>4.5</v>
      </c>
    </row>
    <row r="126" spans="1:10" x14ac:dyDescent="0.35">
      <c r="A126" s="31"/>
      <c r="B126" s="32"/>
      <c r="C126" s="32"/>
      <c r="D126" s="32"/>
      <c r="E126" s="32">
        <v>2.4300000000000002</v>
      </c>
      <c r="F126" s="32">
        <v>3.1</v>
      </c>
      <c r="G126" s="32"/>
      <c r="H126" s="32"/>
      <c r="I126" s="32">
        <v>1.7150000000000001</v>
      </c>
      <c r="J126" s="34">
        <v>4.5250000000000004</v>
      </c>
    </row>
    <row r="127" spans="1:10" x14ac:dyDescent="0.35">
      <c r="A127" s="31"/>
      <c r="B127" s="32"/>
      <c r="C127" s="32"/>
      <c r="D127" s="32"/>
      <c r="E127" s="32">
        <v>2.411</v>
      </c>
      <c r="F127" s="32">
        <v>3.125</v>
      </c>
      <c r="G127" s="32"/>
      <c r="H127" s="32"/>
      <c r="I127" s="32">
        <v>1.6020000000000001</v>
      </c>
      <c r="J127" s="34">
        <v>4.55</v>
      </c>
    </row>
    <row r="128" spans="1:10" x14ac:dyDescent="0.35">
      <c r="A128" s="31"/>
      <c r="B128" s="32"/>
      <c r="C128" s="32"/>
      <c r="D128" s="32"/>
      <c r="E128" s="32">
        <v>2.3839999999999999</v>
      </c>
      <c r="F128" s="32">
        <v>3.15</v>
      </c>
      <c r="G128" s="32"/>
      <c r="H128" s="32"/>
      <c r="I128" s="32">
        <v>1.486</v>
      </c>
      <c r="J128" s="34">
        <v>4.5750000000000002</v>
      </c>
    </row>
    <row r="129" spans="1:10" x14ac:dyDescent="0.35">
      <c r="A129" s="31"/>
      <c r="B129" s="32"/>
      <c r="C129" s="32"/>
      <c r="D129" s="32"/>
      <c r="E129" s="32">
        <v>2.347</v>
      </c>
      <c r="F129" s="32">
        <v>3.1749999999999998</v>
      </c>
      <c r="G129" s="32"/>
      <c r="H129" s="32"/>
      <c r="I129" s="32">
        <v>1.363</v>
      </c>
      <c r="J129" s="34">
        <v>4.5999999999999996</v>
      </c>
    </row>
    <row r="130" spans="1:10" x14ac:dyDescent="0.35">
      <c r="A130" s="31"/>
      <c r="B130" s="32"/>
      <c r="C130" s="32"/>
      <c r="D130" s="32"/>
      <c r="E130" s="32">
        <v>2.3010000000000002</v>
      </c>
      <c r="F130" s="32">
        <v>3.2</v>
      </c>
      <c r="G130" s="32"/>
      <c r="H130" s="32"/>
      <c r="I130" s="32">
        <v>1.236</v>
      </c>
      <c r="J130" s="34">
        <v>4.625</v>
      </c>
    </row>
    <row r="131" spans="1:10" x14ac:dyDescent="0.35">
      <c r="A131" s="31"/>
      <c r="B131" s="32"/>
      <c r="C131" s="32"/>
      <c r="D131" s="32"/>
      <c r="E131" s="32">
        <v>2.246</v>
      </c>
      <c r="F131" s="32">
        <v>3.2250000000000001</v>
      </c>
      <c r="G131" s="32"/>
      <c r="H131" s="32"/>
      <c r="I131" s="32">
        <v>1.1060000000000001</v>
      </c>
      <c r="J131" s="34">
        <v>4.6500000000000004</v>
      </c>
    </row>
    <row r="132" spans="1:10" x14ac:dyDescent="0.35">
      <c r="A132" s="31"/>
      <c r="B132" s="32"/>
      <c r="C132" s="32"/>
      <c r="D132" s="32"/>
      <c r="E132" s="32">
        <v>2.1850000000000001</v>
      </c>
      <c r="F132" s="32">
        <v>3.25</v>
      </c>
      <c r="G132" s="32"/>
      <c r="H132" s="32"/>
      <c r="I132" s="32">
        <v>0.97399999999999998</v>
      </c>
      <c r="J132" s="34">
        <v>4.6749999999999998</v>
      </c>
    </row>
    <row r="133" spans="1:10" x14ac:dyDescent="0.35">
      <c r="A133" s="31"/>
      <c r="B133" s="32"/>
      <c r="C133" s="32"/>
      <c r="D133" s="32"/>
      <c r="E133" s="32">
        <v>2.1139999999999999</v>
      </c>
      <c r="F133" s="32">
        <v>3.2749999999999999</v>
      </c>
      <c r="G133" s="32"/>
      <c r="H133" s="32"/>
      <c r="I133" s="32">
        <v>0.83899999999999997</v>
      </c>
      <c r="J133" s="34">
        <v>4.7</v>
      </c>
    </row>
    <row r="134" spans="1:10" x14ac:dyDescent="0.35">
      <c r="A134" s="31"/>
      <c r="B134" s="32"/>
      <c r="C134" s="32"/>
      <c r="D134" s="32"/>
      <c r="E134" s="32">
        <v>2.036</v>
      </c>
      <c r="F134" s="32">
        <v>3.3</v>
      </c>
      <c r="G134" s="32"/>
      <c r="H134" s="32"/>
      <c r="I134" s="32">
        <v>0.70099999999999996</v>
      </c>
      <c r="J134" s="34">
        <v>4.7249999999999996</v>
      </c>
    </row>
    <row r="135" spans="1:10" x14ac:dyDescent="0.35">
      <c r="A135" s="31"/>
      <c r="B135" s="32"/>
      <c r="C135" s="32"/>
      <c r="D135" s="32"/>
      <c r="E135" s="32">
        <v>1.9510000000000001</v>
      </c>
      <c r="F135" s="32">
        <v>3.3250000000000002</v>
      </c>
      <c r="G135" s="32"/>
      <c r="H135" s="32"/>
      <c r="I135" s="32">
        <v>0.56200000000000006</v>
      </c>
      <c r="J135" s="34">
        <v>4.75</v>
      </c>
    </row>
    <row r="136" spans="1:10" x14ac:dyDescent="0.35">
      <c r="A136" s="31"/>
      <c r="B136" s="32"/>
      <c r="C136" s="32"/>
      <c r="D136" s="32"/>
      <c r="E136" s="32">
        <v>1.86</v>
      </c>
      <c r="F136" s="32">
        <v>3.35</v>
      </c>
      <c r="G136" s="32"/>
      <c r="H136" s="32"/>
      <c r="I136" s="32">
        <v>0.42399999999999999</v>
      </c>
      <c r="J136" s="34">
        <v>4.7750000000000004</v>
      </c>
    </row>
    <row r="137" spans="1:10" x14ac:dyDescent="0.35">
      <c r="A137" s="31"/>
      <c r="B137" s="32"/>
      <c r="C137" s="32"/>
      <c r="D137" s="32"/>
      <c r="E137" s="32">
        <v>1.762</v>
      </c>
      <c r="F137" s="32">
        <v>3.375</v>
      </c>
      <c r="G137" s="32"/>
      <c r="H137" s="32"/>
      <c r="I137" s="32">
        <v>0.28599999999999998</v>
      </c>
      <c r="J137" s="34">
        <v>4.8</v>
      </c>
    </row>
    <row r="138" spans="1:10" x14ac:dyDescent="0.35">
      <c r="A138" s="31"/>
      <c r="B138" s="32"/>
      <c r="C138" s="32"/>
      <c r="D138" s="32"/>
      <c r="E138" s="32">
        <v>1.659</v>
      </c>
      <c r="F138" s="32">
        <v>3.4</v>
      </c>
      <c r="G138" s="32"/>
      <c r="H138" s="32"/>
      <c r="I138" s="32">
        <v>0.14799999999999999</v>
      </c>
      <c r="J138" s="34">
        <v>4.8250000000000002</v>
      </c>
    </row>
    <row r="139" spans="1:10" x14ac:dyDescent="0.35">
      <c r="A139" s="31"/>
      <c r="B139" s="32"/>
      <c r="C139" s="32"/>
      <c r="D139" s="32"/>
      <c r="E139" s="32">
        <v>1.55</v>
      </c>
      <c r="F139" s="32">
        <v>3.4249999999999998</v>
      </c>
      <c r="G139" s="32"/>
      <c r="H139" s="32"/>
      <c r="I139" s="32">
        <v>1.0999999999999999E-2</v>
      </c>
      <c r="J139" s="34">
        <v>4.8499999999999996</v>
      </c>
    </row>
    <row r="140" spans="1:10" x14ac:dyDescent="0.35">
      <c r="A140" s="31"/>
      <c r="B140" s="32"/>
      <c r="C140" s="32"/>
      <c r="D140" s="32"/>
      <c r="E140" s="32">
        <v>1.4370000000000001</v>
      </c>
      <c r="F140" s="32">
        <v>3.45</v>
      </c>
      <c r="G140" s="32"/>
      <c r="H140" s="32"/>
      <c r="I140" s="32">
        <v>-0.123</v>
      </c>
      <c r="J140" s="34">
        <v>4.875</v>
      </c>
    </row>
    <row r="141" spans="1:10" x14ac:dyDescent="0.35">
      <c r="A141" s="31"/>
      <c r="B141" s="32"/>
      <c r="C141" s="32"/>
      <c r="D141" s="32"/>
      <c r="E141" s="32">
        <v>1.321</v>
      </c>
      <c r="F141" s="32">
        <v>3.4750000000000001</v>
      </c>
      <c r="G141" s="32"/>
      <c r="H141" s="32"/>
      <c r="I141" s="32">
        <v>-0.25600000000000001</v>
      </c>
      <c r="J141" s="34">
        <v>4.9000000000000004</v>
      </c>
    </row>
    <row r="142" spans="1:10" x14ac:dyDescent="0.35">
      <c r="A142" s="31"/>
      <c r="B142" s="32"/>
      <c r="C142" s="32"/>
      <c r="D142" s="32"/>
      <c r="E142" s="32">
        <v>1.202</v>
      </c>
      <c r="F142" s="32">
        <v>3.5</v>
      </c>
      <c r="G142" s="32"/>
      <c r="H142" s="32"/>
      <c r="I142" s="32">
        <v>-0.38600000000000001</v>
      </c>
      <c r="J142" s="34">
        <v>4.9249999999999998</v>
      </c>
    </row>
    <row r="143" spans="1:10" x14ac:dyDescent="0.35">
      <c r="A143" s="31"/>
      <c r="B143" s="32"/>
      <c r="C143" s="32"/>
      <c r="D143" s="32"/>
      <c r="E143" s="32">
        <v>1.0780000000000001</v>
      </c>
      <c r="F143" s="32">
        <v>3.5249999999999999</v>
      </c>
      <c r="G143" s="32"/>
      <c r="H143" s="32"/>
      <c r="I143" s="32">
        <v>-0.51200000000000001</v>
      </c>
      <c r="J143" s="34">
        <v>4.95</v>
      </c>
    </row>
    <row r="144" spans="1:10" x14ac:dyDescent="0.35">
      <c r="A144" s="31"/>
      <c r="B144" s="32"/>
      <c r="C144" s="32"/>
      <c r="D144" s="32"/>
      <c r="E144" s="32">
        <v>0.95199999999999996</v>
      </c>
      <c r="F144" s="32">
        <v>3.55</v>
      </c>
      <c r="G144" s="32"/>
      <c r="H144" s="32"/>
      <c r="I144" s="32">
        <v>-0.63500000000000001</v>
      </c>
      <c r="J144" s="34">
        <v>4.9749999999999996</v>
      </c>
    </row>
    <row r="145" spans="1:10" x14ac:dyDescent="0.35">
      <c r="A145" s="31"/>
      <c r="B145" s="32"/>
      <c r="C145" s="32"/>
      <c r="D145" s="32"/>
      <c r="E145" s="32">
        <v>0.82499999999999996</v>
      </c>
      <c r="F145" s="32">
        <v>3.5750000000000002</v>
      </c>
      <c r="G145" s="32"/>
      <c r="H145" s="32"/>
      <c r="I145" s="32">
        <v>-0.752</v>
      </c>
      <c r="J145" s="34">
        <v>5</v>
      </c>
    </row>
    <row r="146" spans="1:10" x14ac:dyDescent="0.35">
      <c r="A146" s="31"/>
      <c r="B146" s="32"/>
      <c r="C146" s="32"/>
      <c r="D146" s="32"/>
      <c r="E146" s="32">
        <v>0.69699999999999995</v>
      </c>
      <c r="F146" s="32">
        <v>3.6</v>
      </c>
      <c r="G146" s="32"/>
      <c r="H146" s="32"/>
      <c r="I146" s="32">
        <v>-0.86699999999999999</v>
      </c>
      <c r="J146" s="34">
        <v>5.0250000000000004</v>
      </c>
    </row>
    <row r="147" spans="1:10" x14ac:dyDescent="0.35">
      <c r="A147" s="31"/>
      <c r="B147" s="32"/>
      <c r="C147" s="32"/>
      <c r="D147" s="32"/>
      <c r="E147" s="32">
        <v>0.56899999999999995</v>
      </c>
      <c r="F147" s="32">
        <v>3.625</v>
      </c>
      <c r="G147" s="32"/>
      <c r="H147" s="32"/>
      <c r="I147" s="32">
        <v>-0.97499999999999998</v>
      </c>
      <c r="J147" s="34">
        <v>5.05</v>
      </c>
    </row>
    <row r="148" spans="1:10" x14ac:dyDescent="0.35">
      <c r="A148" s="31"/>
      <c r="B148" s="32"/>
      <c r="C148" s="32"/>
      <c r="D148" s="32"/>
      <c r="E148" s="32">
        <v>0.438</v>
      </c>
      <c r="F148" s="32">
        <v>3.65</v>
      </c>
      <c r="G148" s="32"/>
      <c r="H148" s="32"/>
      <c r="I148" s="32">
        <v>-1.079</v>
      </c>
      <c r="J148" s="34">
        <v>5.0750000000000002</v>
      </c>
    </row>
    <row r="149" spans="1:10" x14ac:dyDescent="0.35">
      <c r="A149" s="31"/>
      <c r="B149" s="32"/>
      <c r="C149" s="32"/>
      <c r="D149" s="32"/>
      <c r="E149" s="32">
        <v>0.311</v>
      </c>
      <c r="F149" s="32">
        <v>3.6749999999999998</v>
      </c>
      <c r="G149" s="32"/>
      <c r="H149" s="32"/>
      <c r="I149" s="32">
        <v>-1.177</v>
      </c>
      <c r="J149" s="34">
        <v>5.0999999999999996</v>
      </c>
    </row>
    <row r="150" spans="1:10" x14ac:dyDescent="0.35">
      <c r="A150" s="31"/>
      <c r="B150" s="32"/>
      <c r="C150" s="32"/>
      <c r="D150" s="32"/>
      <c r="E150" s="32">
        <v>0.184</v>
      </c>
      <c r="F150" s="32">
        <v>3.7</v>
      </c>
      <c r="G150" s="32"/>
      <c r="H150" s="32"/>
      <c r="I150" s="32">
        <v>-1.266</v>
      </c>
      <c r="J150" s="34">
        <v>5.125</v>
      </c>
    </row>
    <row r="151" spans="1:10" x14ac:dyDescent="0.35">
      <c r="A151" s="31"/>
      <c r="B151" s="32"/>
      <c r="C151" s="32"/>
      <c r="D151" s="32"/>
      <c r="E151" s="32">
        <v>5.7000000000000002E-2</v>
      </c>
      <c r="F151" s="32">
        <v>3.7250000000000001</v>
      </c>
      <c r="G151" s="32"/>
      <c r="H151" s="32"/>
      <c r="I151" s="32">
        <v>-1.351</v>
      </c>
      <c r="J151" s="34">
        <v>5.15</v>
      </c>
    </row>
    <row r="152" spans="1:10" x14ac:dyDescent="0.35">
      <c r="A152" s="31"/>
      <c r="B152" s="32"/>
      <c r="C152" s="32"/>
      <c r="D152" s="32"/>
      <c r="E152" s="32">
        <v>-6.8000000000000005E-2</v>
      </c>
      <c r="F152" s="32">
        <v>3.75</v>
      </c>
      <c r="G152" s="32"/>
      <c r="H152" s="32"/>
      <c r="I152" s="32">
        <v>-1.429</v>
      </c>
      <c r="J152" s="34">
        <v>5.1749999999999998</v>
      </c>
    </row>
    <row r="153" spans="1:10" x14ac:dyDescent="0.35">
      <c r="A153" s="31"/>
      <c r="B153" s="32"/>
      <c r="C153" s="32"/>
      <c r="D153" s="32"/>
      <c r="E153" s="32">
        <v>-0.188</v>
      </c>
      <c r="F153" s="32">
        <v>3.7749999999999999</v>
      </c>
      <c r="G153" s="32"/>
      <c r="H153" s="32"/>
      <c r="I153" s="32">
        <v>-1.4990000000000001</v>
      </c>
      <c r="J153" s="34">
        <v>5.2</v>
      </c>
    </row>
    <row r="154" spans="1:10" x14ac:dyDescent="0.35">
      <c r="A154" s="31"/>
      <c r="B154" s="32"/>
      <c r="C154" s="32"/>
      <c r="D154" s="32"/>
      <c r="E154" s="32">
        <v>-0.30599999999999999</v>
      </c>
      <c r="F154" s="32">
        <v>3.8</v>
      </c>
      <c r="G154" s="32"/>
      <c r="H154" s="32"/>
      <c r="I154" s="32">
        <v>-1.5609999999999999</v>
      </c>
      <c r="J154" s="34">
        <v>5.2249999999999996</v>
      </c>
    </row>
    <row r="155" spans="1:10" x14ac:dyDescent="0.35">
      <c r="A155" s="31"/>
      <c r="B155" s="32"/>
      <c r="C155" s="32"/>
      <c r="D155" s="32"/>
      <c r="E155" s="32">
        <v>-0.42299999999999999</v>
      </c>
      <c r="F155" s="32">
        <v>3.8250000000000002</v>
      </c>
      <c r="G155" s="32"/>
      <c r="H155" s="32"/>
      <c r="I155" s="32">
        <v>-1.6180000000000001</v>
      </c>
      <c r="J155" s="34">
        <v>5.25</v>
      </c>
    </row>
    <row r="156" spans="1:10" x14ac:dyDescent="0.35">
      <c r="A156" s="31"/>
      <c r="B156" s="32"/>
      <c r="C156" s="32"/>
      <c r="D156" s="32"/>
      <c r="E156" s="32">
        <v>-0.53400000000000003</v>
      </c>
      <c r="F156" s="32">
        <v>3.85</v>
      </c>
      <c r="G156" s="32"/>
      <c r="H156" s="32"/>
      <c r="I156" s="32">
        <v>-1.663</v>
      </c>
      <c r="J156" s="34">
        <v>5.2750000000000004</v>
      </c>
    </row>
    <row r="157" spans="1:10" x14ac:dyDescent="0.35">
      <c r="A157" s="31"/>
      <c r="B157" s="32"/>
      <c r="C157" s="32"/>
      <c r="D157" s="32"/>
      <c r="E157" s="32">
        <v>-0.64100000000000001</v>
      </c>
      <c r="F157" s="32">
        <v>3.875</v>
      </c>
      <c r="G157" s="32"/>
      <c r="H157" s="32"/>
      <c r="I157" s="32">
        <v>-1.7030000000000001</v>
      </c>
      <c r="J157" s="34">
        <v>5.3</v>
      </c>
    </row>
    <row r="158" spans="1:10" x14ac:dyDescent="0.35">
      <c r="A158" s="31"/>
      <c r="B158" s="32"/>
      <c r="C158" s="32"/>
      <c r="D158" s="32"/>
      <c r="E158" s="32">
        <v>-0.74299999999999999</v>
      </c>
      <c r="F158" s="32">
        <v>3.9</v>
      </c>
      <c r="G158" s="32"/>
      <c r="H158" s="32"/>
      <c r="I158" s="32">
        <v>-1.734</v>
      </c>
      <c r="J158" s="34">
        <v>5.3250000000000002</v>
      </c>
    </row>
    <row r="159" spans="1:10" x14ac:dyDescent="0.35">
      <c r="A159" s="31"/>
      <c r="B159" s="32"/>
      <c r="C159" s="32"/>
      <c r="D159" s="32"/>
      <c r="E159" s="32">
        <v>-0.84</v>
      </c>
      <c r="F159" s="32">
        <v>3.9249999999999998</v>
      </c>
      <c r="G159" s="32"/>
      <c r="H159" s="32"/>
      <c r="I159" s="32">
        <v>-1.758</v>
      </c>
      <c r="J159" s="34">
        <v>5.35</v>
      </c>
    </row>
    <row r="160" spans="1:10" x14ac:dyDescent="0.35">
      <c r="A160" s="31"/>
      <c r="B160" s="32"/>
      <c r="C160" s="32"/>
      <c r="D160" s="32"/>
      <c r="E160" s="32">
        <v>-0.93300000000000005</v>
      </c>
      <c r="F160" s="32">
        <v>3.95</v>
      </c>
      <c r="G160" s="32"/>
      <c r="H160" s="32"/>
      <c r="I160" s="32">
        <v>-1.7729999999999999</v>
      </c>
      <c r="J160" s="34">
        <v>5.375</v>
      </c>
    </row>
    <row r="161" spans="1:10" x14ac:dyDescent="0.35">
      <c r="A161" s="31"/>
      <c r="B161" s="32"/>
      <c r="C161" s="32"/>
      <c r="D161" s="32"/>
      <c r="E161" s="32">
        <v>-1.0189999999999999</v>
      </c>
      <c r="F161" s="32">
        <v>3.9750000000000001</v>
      </c>
      <c r="G161" s="32"/>
      <c r="H161" s="32"/>
      <c r="I161" s="32">
        <v>-1.7809999999999999</v>
      </c>
      <c r="J161" s="34">
        <v>5.4</v>
      </c>
    </row>
    <row r="162" spans="1:10" x14ac:dyDescent="0.35">
      <c r="A162" s="31"/>
      <c r="B162" s="32"/>
      <c r="C162" s="32"/>
      <c r="D162" s="32"/>
      <c r="E162" s="32">
        <v>-1.1000000000000001</v>
      </c>
      <c r="F162" s="32">
        <v>4</v>
      </c>
      <c r="G162" s="32"/>
      <c r="H162" s="32"/>
      <c r="I162" s="32">
        <v>-1.7829999999999999</v>
      </c>
      <c r="J162" s="34">
        <v>5.4249999999999998</v>
      </c>
    </row>
    <row r="163" spans="1:10" x14ac:dyDescent="0.35">
      <c r="A163" s="31"/>
      <c r="B163" s="32"/>
      <c r="C163" s="32"/>
      <c r="D163" s="32"/>
      <c r="E163" s="32">
        <v>-1.173</v>
      </c>
      <c r="F163" s="32">
        <v>4.0250000000000004</v>
      </c>
      <c r="G163" s="32"/>
      <c r="H163" s="32"/>
      <c r="I163" s="32">
        <v>-1.7749999999999999</v>
      </c>
      <c r="J163" s="34">
        <v>5.45</v>
      </c>
    </row>
    <row r="164" spans="1:10" x14ac:dyDescent="0.35">
      <c r="A164" s="31"/>
      <c r="B164" s="32"/>
      <c r="C164" s="32"/>
      <c r="D164" s="32"/>
      <c r="E164" s="32">
        <v>-1.2410000000000001</v>
      </c>
      <c r="F164" s="32">
        <v>4.05</v>
      </c>
      <c r="G164" s="32"/>
      <c r="H164" s="32"/>
      <c r="I164" s="32">
        <v>-1.7609999999999999</v>
      </c>
      <c r="J164" s="34">
        <v>5.4749999999999996</v>
      </c>
    </row>
    <row r="165" spans="1:10" x14ac:dyDescent="0.35">
      <c r="A165" s="31"/>
      <c r="B165" s="32"/>
      <c r="C165" s="32"/>
      <c r="D165" s="32"/>
      <c r="E165" s="32">
        <v>-1.3009999999999999</v>
      </c>
      <c r="F165" s="32">
        <v>4.0750000000000002</v>
      </c>
      <c r="G165" s="32"/>
      <c r="H165" s="32"/>
      <c r="I165" s="32">
        <v>-1.7390000000000001</v>
      </c>
      <c r="J165" s="34">
        <v>5.5</v>
      </c>
    </row>
    <row r="166" spans="1:10" x14ac:dyDescent="0.35">
      <c r="A166" s="31"/>
      <c r="B166" s="32"/>
      <c r="C166" s="32"/>
      <c r="D166" s="32"/>
      <c r="E166" s="32">
        <v>-1.3540000000000001</v>
      </c>
      <c r="F166" s="32">
        <v>4.0999999999999996</v>
      </c>
      <c r="G166" s="32"/>
      <c r="H166" s="32"/>
      <c r="I166" s="32">
        <v>-1.7110000000000001</v>
      </c>
      <c r="J166" s="34">
        <v>5.5250000000000004</v>
      </c>
    </row>
    <row r="167" spans="1:10" x14ac:dyDescent="0.35">
      <c r="A167" s="31"/>
      <c r="B167" s="32"/>
      <c r="C167" s="32"/>
      <c r="D167" s="32"/>
      <c r="E167" s="32">
        <v>-1.4</v>
      </c>
      <c r="F167" s="32">
        <v>4.125</v>
      </c>
      <c r="G167" s="32"/>
      <c r="H167" s="32"/>
      <c r="I167" s="32">
        <v>-1.6739999999999999</v>
      </c>
      <c r="J167" s="34">
        <v>5.55</v>
      </c>
    </row>
    <row r="168" spans="1:10" x14ac:dyDescent="0.35">
      <c r="A168" s="31"/>
      <c r="B168" s="32"/>
      <c r="C168" s="32"/>
      <c r="D168" s="32"/>
      <c r="E168" s="32">
        <v>-1.4390000000000001</v>
      </c>
      <c r="F168" s="32">
        <v>4.1500000000000004</v>
      </c>
      <c r="G168" s="32"/>
      <c r="H168" s="32"/>
      <c r="I168" s="32">
        <v>-1.6319999999999999</v>
      </c>
      <c r="J168" s="34">
        <v>5.5750000000000002</v>
      </c>
    </row>
    <row r="169" spans="1:10" x14ac:dyDescent="0.35">
      <c r="A169" s="31"/>
      <c r="B169" s="32"/>
      <c r="C169" s="32"/>
      <c r="D169" s="32"/>
      <c r="E169" s="32">
        <v>-1.4690000000000001</v>
      </c>
      <c r="F169" s="32">
        <v>4.1749999999999998</v>
      </c>
      <c r="G169" s="32"/>
      <c r="H169" s="32"/>
      <c r="I169" s="32">
        <v>-1.585</v>
      </c>
      <c r="J169" s="34">
        <v>5.6</v>
      </c>
    </row>
    <row r="170" spans="1:10" x14ac:dyDescent="0.35">
      <c r="A170" s="31"/>
      <c r="B170" s="32"/>
      <c r="C170" s="32"/>
      <c r="D170" s="32"/>
      <c r="E170" s="32">
        <v>-1.492</v>
      </c>
      <c r="F170" s="32">
        <v>4.2</v>
      </c>
      <c r="G170" s="32"/>
      <c r="H170" s="32"/>
      <c r="I170" s="32">
        <v>-1.53</v>
      </c>
      <c r="J170" s="34">
        <v>5.625</v>
      </c>
    </row>
    <row r="171" spans="1:10" x14ac:dyDescent="0.35">
      <c r="A171" s="31"/>
      <c r="B171" s="32"/>
      <c r="C171" s="32"/>
      <c r="D171" s="32"/>
      <c r="E171" s="32">
        <v>-1.508</v>
      </c>
      <c r="F171" s="32">
        <v>4.2249999999999996</v>
      </c>
      <c r="G171" s="32"/>
      <c r="H171" s="32"/>
      <c r="I171" s="32">
        <v>-1.47</v>
      </c>
      <c r="J171" s="34">
        <v>5.65</v>
      </c>
    </row>
    <row r="172" spans="1:10" x14ac:dyDescent="0.35">
      <c r="A172" s="31"/>
      <c r="B172" s="32"/>
      <c r="C172" s="32"/>
      <c r="D172" s="32"/>
      <c r="E172" s="32">
        <v>-1.516</v>
      </c>
      <c r="F172" s="32">
        <v>4.25</v>
      </c>
      <c r="G172" s="32"/>
      <c r="H172" s="32"/>
      <c r="I172" s="32">
        <v>-1.4039999999999999</v>
      </c>
      <c r="J172" s="34">
        <v>5.6749999999999998</v>
      </c>
    </row>
    <row r="173" spans="1:10" x14ac:dyDescent="0.35">
      <c r="A173" s="31"/>
      <c r="B173" s="32"/>
      <c r="C173" s="32"/>
      <c r="D173" s="32"/>
      <c r="E173" s="32">
        <v>-1.5169999999999999</v>
      </c>
      <c r="F173" s="32">
        <v>4.2750000000000004</v>
      </c>
      <c r="G173" s="32"/>
      <c r="H173" s="32"/>
      <c r="I173" s="32">
        <v>-1.3340000000000001</v>
      </c>
      <c r="J173" s="34">
        <v>5.7</v>
      </c>
    </row>
    <row r="174" spans="1:10" x14ac:dyDescent="0.35">
      <c r="A174" s="31"/>
      <c r="B174" s="32"/>
      <c r="C174" s="32"/>
      <c r="D174" s="32"/>
      <c r="E174" s="32">
        <v>-1.5109999999999999</v>
      </c>
      <c r="F174" s="32">
        <v>4.3</v>
      </c>
      <c r="G174" s="32"/>
      <c r="H174" s="32"/>
      <c r="I174" s="32">
        <v>-1.26</v>
      </c>
      <c r="J174" s="34">
        <v>5.7249999999999996</v>
      </c>
    </row>
    <row r="175" spans="1:10" x14ac:dyDescent="0.35">
      <c r="A175" s="31"/>
      <c r="B175" s="32"/>
      <c r="C175" s="32"/>
      <c r="D175" s="32"/>
      <c r="E175" s="32">
        <v>-1.4970000000000001</v>
      </c>
      <c r="F175" s="32">
        <v>4.3250000000000002</v>
      </c>
      <c r="G175" s="32"/>
      <c r="H175" s="32"/>
      <c r="I175" s="32">
        <v>-1.18</v>
      </c>
      <c r="J175" s="34">
        <v>5.75</v>
      </c>
    </row>
    <row r="176" spans="1:10" x14ac:dyDescent="0.35">
      <c r="A176" s="31"/>
      <c r="B176" s="32"/>
      <c r="C176" s="32"/>
      <c r="D176" s="32"/>
      <c r="E176" s="32">
        <v>-1.4750000000000001</v>
      </c>
      <c r="F176" s="32">
        <v>4.3499999999999996</v>
      </c>
      <c r="G176" s="32"/>
      <c r="H176" s="32"/>
      <c r="I176" s="32">
        <v>-1.0960000000000001</v>
      </c>
      <c r="J176" s="34">
        <v>5.7750000000000004</v>
      </c>
    </row>
    <row r="177" spans="1:10" x14ac:dyDescent="0.35">
      <c r="A177" s="31"/>
      <c r="B177" s="32"/>
      <c r="C177" s="32"/>
      <c r="D177" s="32"/>
      <c r="E177" s="32">
        <v>-1.448</v>
      </c>
      <c r="F177" s="32">
        <v>4.375</v>
      </c>
      <c r="G177" s="32"/>
      <c r="H177" s="32"/>
      <c r="I177" s="32">
        <v>-1.01</v>
      </c>
      <c r="J177" s="34">
        <v>5.8</v>
      </c>
    </row>
    <row r="178" spans="1:10" x14ac:dyDescent="0.35">
      <c r="A178" s="31"/>
      <c r="B178" s="32"/>
      <c r="C178" s="32"/>
      <c r="D178" s="32"/>
      <c r="E178" s="32">
        <v>-1.4139999999999999</v>
      </c>
      <c r="F178" s="32">
        <v>4.4000000000000004</v>
      </c>
      <c r="G178" s="32"/>
      <c r="H178" s="32"/>
      <c r="I178" s="32">
        <v>-0.92</v>
      </c>
      <c r="J178" s="34">
        <v>5.8250000000000002</v>
      </c>
    </row>
    <row r="179" spans="1:10" x14ac:dyDescent="0.35">
      <c r="A179" s="31"/>
      <c r="B179" s="32"/>
      <c r="C179" s="32"/>
      <c r="D179" s="32"/>
      <c r="E179" s="32">
        <v>-1.3740000000000001</v>
      </c>
      <c r="F179" s="32">
        <v>4.4249999999999998</v>
      </c>
      <c r="G179" s="32"/>
      <c r="H179" s="32"/>
      <c r="I179" s="32">
        <v>-0.82799999999999996</v>
      </c>
      <c r="J179" s="34">
        <v>5.85</v>
      </c>
    </row>
    <row r="180" spans="1:10" x14ac:dyDescent="0.35">
      <c r="A180" s="31"/>
      <c r="B180" s="32"/>
      <c r="C180" s="32"/>
      <c r="D180" s="32"/>
      <c r="E180" s="32">
        <v>-1.329</v>
      </c>
      <c r="F180" s="32">
        <v>4.45</v>
      </c>
      <c r="G180" s="32"/>
      <c r="H180" s="32"/>
      <c r="I180" s="32">
        <v>-0.73199999999999998</v>
      </c>
      <c r="J180" s="34">
        <v>5.875</v>
      </c>
    </row>
    <row r="181" spans="1:10" x14ac:dyDescent="0.35">
      <c r="A181" s="31"/>
      <c r="B181" s="32"/>
      <c r="C181" s="32"/>
      <c r="D181" s="32"/>
      <c r="E181" s="32">
        <v>-1.2789999999999999</v>
      </c>
      <c r="F181" s="32">
        <v>4.4749999999999996</v>
      </c>
      <c r="G181" s="32"/>
      <c r="H181" s="32"/>
      <c r="I181" s="32">
        <v>-0.63600000000000001</v>
      </c>
      <c r="J181" s="34">
        <v>5.9</v>
      </c>
    </row>
    <row r="182" spans="1:10" x14ac:dyDescent="0.35">
      <c r="A182" s="31"/>
      <c r="B182" s="32"/>
      <c r="C182" s="32"/>
      <c r="D182" s="32"/>
      <c r="E182" s="32">
        <v>-1.222</v>
      </c>
      <c r="F182" s="32">
        <v>4.5</v>
      </c>
      <c r="G182" s="32"/>
      <c r="H182" s="32"/>
      <c r="I182" s="32">
        <v>-0.53900000000000003</v>
      </c>
      <c r="J182" s="34">
        <v>5.9249999999999998</v>
      </c>
    </row>
    <row r="183" spans="1:10" x14ac:dyDescent="0.35">
      <c r="A183" s="31"/>
      <c r="B183" s="32"/>
      <c r="C183" s="32"/>
      <c r="D183" s="32"/>
      <c r="E183" s="32">
        <v>-1.161</v>
      </c>
      <c r="F183" s="32">
        <v>4.5250000000000004</v>
      </c>
      <c r="G183" s="32"/>
      <c r="H183" s="32"/>
      <c r="I183" s="32">
        <v>-0.44</v>
      </c>
      <c r="J183" s="34">
        <v>5.95</v>
      </c>
    </row>
    <row r="184" spans="1:10" x14ac:dyDescent="0.35">
      <c r="A184" s="31"/>
      <c r="B184" s="32"/>
      <c r="C184" s="32"/>
      <c r="D184" s="32"/>
      <c r="E184" s="32">
        <v>-1.095</v>
      </c>
      <c r="F184" s="32">
        <v>4.55</v>
      </c>
      <c r="G184" s="32"/>
      <c r="H184" s="32"/>
      <c r="I184" s="32">
        <v>-0.34100000000000003</v>
      </c>
      <c r="J184" s="34">
        <v>5.9749999999999996</v>
      </c>
    </row>
    <row r="185" spans="1:10" x14ac:dyDescent="0.35">
      <c r="A185" s="31"/>
      <c r="B185" s="32"/>
      <c r="C185" s="32"/>
      <c r="D185" s="32"/>
      <c r="E185" s="32">
        <v>-1.026</v>
      </c>
      <c r="F185" s="32">
        <v>4.5750000000000002</v>
      </c>
      <c r="G185" s="32"/>
      <c r="H185" s="32"/>
      <c r="I185" s="32">
        <v>-0.24199999999999999</v>
      </c>
      <c r="J185" s="34">
        <v>6</v>
      </c>
    </row>
    <row r="186" spans="1:10" x14ac:dyDescent="0.35">
      <c r="A186" s="31"/>
      <c r="B186" s="32"/>
      <c r="C186" s="32"/>
      <c r="D186" s="32"/>
      <c r="E186" s="32">
        <v>-0.95199999999999996</v>
      </c>
      <c r="F186" s="32">
        <v>4.5999999999999996</v>
      </c>
      <c r="G186" s="32"/>
      <c r="H186" s="32"/>
      <c r="I186" s="32">
        <v>-0.14299999999999999</v>
      </c>
      <c r="J186" s="34">
        <v>6.0250000000000004</v>
      </c>
    </row>
    <row r="187" spans="1:10" x14ac:dyDescent="0.35">
      <c r="A187" s="31"/>
      <c r="B187" s="32"/>
      <c r="C187" s="32"/>
      <c r="D187" s="32"/>
      <c r="E187" s="32">
        <v>-0.873</v>
      </c>
      <c r="F187" s="32">
        <v>4.625</v>
      </c>
      <c r="G187" s="32"/>
      <c r="H187" s="32"/>
      <c r="I187" s="32">
        <v>-4.5999999999999999E-2</v>
      </c>
      <c r="J187" s="34">
        <v>6.05</v>
      </c>
    </row>
    <row r="188" spans="1:10" x14ac:dyDescent="0.35">
      <c r="A188" s="31"/>
      <c r="B188" s="32"/>
      <c r="C188" s="32"/>
      <c r="D188" s="32"/>
      <c r="E188" s="32">
        <v>-0.79300000000000004</v>
      </c>
      <c r="F188" s="32">
        <v>4.6500000000000004</v>
      </c>
      <c r="G188" s="32"/>
      <c r="H188" s="32"/>
      <c r="I188" s="32">
        <v>5.1999999999999998E-2</v>
      </c>
      <c r="J188" s="34">
        <v>6.0750000000000002</v>
      </c>
    </row>
    <row r="189" spans="1:10" x14ac:dyDescent="0.35">
      <c r="A189" s="31"/>
      <c r="B189" s="32"/>
      <c r="C189" s="32"/>
      <c r="D189" s="32"/>
      <c r="E189" s="32">
        <v>-0.71</v>
      </c>
      <c r="F189" s="32">
        <v>4.6749999999999998</v>
      </c>
      <c r="G189" s="32"/>
      <c r="H189" s="32"/>
      <c r="I189" s="32">
        <v>0.14599999999999999</v>
      </c>
      <c r="J189" s="34">
        <v>6.1</v>
      </c>
    </row>
    <row r="190" spans="1:10" x14ac:dyDescent="0.35">
      <c r="A190" s="31"/>
      <c r="B190" s="32"/>
      <c r="C190" s="32"/>
      <c r="D190" s="32"/>
      <c r="E190" s="32">
        <v>-0.624</v>
      </c>
      <c r="F190" s="32">
        <v>4.7</v>
      </c>
      <c r="G190" s="32"/>
      <c r="H190" s="32"/>
      <c r="I190" s="32">
        <v>0.24</v>
      </c>
      <c r="J190" s="34">
        <v>6.125</v>
      </c>
    </row>
    <row r="191" spans="1:10" x14ac:dyDescent="0.35">
      <c r="A191" s="31"/>
      <c r="B191" s="32"/>
      <c r="C191" s="32"/>
      <c r="D191" s="32"/>
      <c r="E191" s="32">
        <v>-0.53600000000000003</v>
      </c>
      <c r="F191" s="32">
        <v>4.7249999999999996</v>
      </c>
      <c r="G191" s="32"/>
      <c r="H191" s="32"/>
      <c r="I191" s="32">
        <v>0.33</v>
      </c>
      <c r="J191" s="34">
        <v>6.15</v>
      </c>
    </row>
    <row r="192" spans="1:10" x14ac:dyDescent="0.35">
      <c r="A192" s="31"/>
      <c r="B192" s="32"/>
      <c r="C192" s="32"/>
      <c r="D192" s="32"/>
      <c r="E192" s="32">
        <v>-0.44600000000000001</v>
      </c>
      <c r="F192" s="32">
        <v>4.75</v>
      </c>
      <c r="G192" s="32"/>
      <c r="H192" s="32"/>
      <c r="I192" s="32">
        <v>0.41799999999999998</v>
      </c>
      <c r="J192" s="34">
        <v>6.1749999999999998</v>
      </c>
    </row>
    <row r="193" spans="1:10" x14ac:dyDescent="0.35">
      <c r="A193" s="31"/>
      <c r="B193" s="32"/>
      <c r="C193" s="32"/>
      <c r="D193" s="32"/>
      <c r="E193" s="32">
        <v>-0.35499999999999998</v>
      </c>
      <c r="F193" s="32">
        <v>4.7750000000000004</v>
      </c>
      <c r="G193" s="32"/>
      <c r="H193" s="32"/>
      <c r="I193" s="32">
        <v>0.503</v>
      </c>
      <c r="J193" s="34">
        <v>6.2</v>
      </c>
    </row>
    <row r="194" spans="1:10" x14ac:dyDescent="0.35">
      <c r="A194" s="31"/>
      <c r="B194" s="32"/>
      <c r="C194" s="32"/>
      <c r="D194" s="32"/>
      <c r="E194" s="32">
        <v>-0.26400000000000001</v>
      </c>
      <c r="F194" s="32">
        <v>4.8</v>
      </c>
      <c r="G194" s="32"/>
      <c r="H194" s="32"/>
      <c r="I194" s="32">
        <v>0.58399999999999996</v>
      </c>
      <c r="J194" s="34">
        <v>6.2249999999999996</v>
      </c>
    </row>
    <row r="195" spans="1:10" x14ac:dyDescent="0.35">
      <c r="A195" s="31"/>
      <c r="B195" s="32"/>
      <c r="C195" s="32"/>
      <c r="D195" s="32"/>
      <c r="E195" s="32">
        <v>-0.17299999999999999</v>
      </c>
      <c r="F195" s="32">
        <v>4.8250000000000002</v>
      </c>
      <c r="G195" s="32"/>
      <c r="H195" s="32"/>
      <c r="I195" s="32">
        <v>0.66300000000000003</v>
      </c>
      <c r="J195" s="34">
        <v>6.25</v>
      </c>
    </row>
    <row r="196" spans="1:10" x14ac:dyDescent="0.35">
      <c r="A196" s="31"/>
      <c r="B196" s="32"/>
      <c r="C196" s="32"/>
      <c r="D196" s="32"/>
      <c r="E196" s="32">
        <v>-8.2000000000000003E-2</v>
      </c>
      <c r="F196" s="32">
        <v>4.8499999999999996</v>
      </c>
      <c r="G196" s="32"/>
      <c r="H196" s="32"/>
      <c r="I196" s="32">
        <v>0.73699999999999999</v>
      </c>
      <c r="J196" s="34">
        <v>6.2750000000000004</v>
      </c>
    </row>
    <row r="197" spans="1:10" x14ac:dyDescent="0.35">
      <c r="A197" s="31"/>
      <c r="B197" s="32"/>
      <c r="C197" s="32"/>
      <c r="D197" s="32"/>
      <c r="E197" s="32">
        <v>1.0999999999999999E-2</v>
      </c>
      <c r="F197" s="32">
        <v>4.875</v>
      </c>
      <c r="G197" s="32"/>
      <c r="H197" s="32"/>
      <c r="I197" s="32">
        <v>0.80700000000000005</v>
      </c>
      <c r="J197" s="34">
        <v>6.3</v>
      </c>
    </row>
    <row r="198" spans="1:10" x14ac:dyDescent="0.35">
      <c r="A198" s="31"/>
      <c r="B198" s="32"/>
      <c r="C198" s="32"/>
      <c r="D198" s="32"/>
      <c r="E198" s="32">
        <v>0.10100000000000001</v>
      </c>
      <c r="F198" s="32">
        <v>4.9000000000000004</v>
      </c>
      <c r="G198" s="32"/>
      <c r="H198" s="32"/>
      <c r="I198" s="32">
        <v>0.872</v>
      </c>
      <c r="J198" s="34">
        <v>6.3250000000000002</v>
      </c>
    </row>
    <row r="199" spans="1:10" x14ac:dyDescent="0.35">
      <c r="A199" s="31"/>
      <c r="B199" s="32"/>
      <c r="C199" s="32"/>
      <c r="D199" s="32"/>
      <c r="E199" s="32">
        <v>0.19</v>
      </c>
      <c r="F199" s="32">
        <v>4.9249999999999998</v>
      </c>
      <c r="G199" s="32"/>
      <c r="H199" s="32"/>
      <c r="I199" s="32">
        <v>0.93300000000000005</v>
      </c>
      <c r="J199" s="34">
        <v>6.35</v>
      </c>
    </row>
    <row r="200" spans="1:10" x14ac:dyDescent="0.35">
      <c r="A200" s="31"/>
      <c r="B200" s="32"/>
      <c r="C200" s="32"/>
      <c r="D200" s="32"/>
      <c r="E200" s="32">
        <v>0.27800000000000002</v>
      </c>
      <c r="F200" s="32">
        <v>4.95</v>
      </c>
      <c r="G200" s="32"/>
      <c r="H200" s="32"/>
      <c r="I200" s="32">
        <v>0.98799999999999999</v>
      </c>
      <c r="J200" s="34">
        <v>6.375</v>
      </c>
    </row>
    <row r="201" spans="1:10" x14ac:dyDescent="0.35">
      <c r="A201" s="31"/>
      <c r="B201" s="32"/>
      <c r="C201" s="32"/>
      <c r="D201" s="32"/>
      <c r="E201" s="32">
        <v>0.36399999999999999</v>
      </c>
      <c r="F201" s="32">
        <v>4.9749999999999996</v>
      </c>
      <c r="G201" s="32"/>
      <c r="H201" s="32"/>
      <c r="I201" s="32">
        <v>1.038</v>
      </c>
      <c r="J201" s="34">
        <v>6.4</v>
      </c>
    </row>
    <row r="202" spans="1:10" x14ac:dyDescent="0.35">
      <c r="A202" s="31"/>
      <c r="B202" s="32"/>
      <c r="C202" s="32"/>
      <c r="D202" s="32"/>
      <c r="E202" s="32">
        <v>0.44800000000000001</v>
      </c>
      <c r="F202" s="32">
        <v>5</v>
      </c>
      <c r="G202" s="32"/>
      <c r="H202" s="32"/>
      <c r="I202" s="32">
        <v>1.0840000000000001</v>
      </c>
      <c r="J202" s="34">
        <v>6.4249999999999998</v>
      </c>
    </row>
    <row r="203" spans="1:10" x14ac:dyDescent="0.35">
      <c r="A203" s="31"/>
      <c r="B203" s="32"/>
      <c r="C203" s="32"/>
      <c r="D203" s="32"/>
      <c r="E203" s="32">
        <v>0.52800000000000002</v>
      </c>
      <c r="F203" s="32">
        <v>5.0250000000000004</v>
      </c>
      <c r="G203" s="32"/>
      <c r="H203" s="32"/>
      <c r="I203" s="32">
        <v>1.123</v>
      </c>
      <c r="J203" s="34">
        <v>6.45</v>
      </c>
    </row>
    <row r="204" spans="1:10" x14ac:dyDescent="0.35">
      <c r="A204" s="31"/>
      <c r="B204" s="32"/>
      <c r="C204" s="32"/>
      <c r="D204" s="32"/>
      <c r="E204" s="32">
        <v>0.60599999999999998</v>
      </c>
      <c r="F204" s="32">
        <v>5.05</v>
      </c>
      <c r="G204" s="32"/>
      <c r="H204" s="32"/>
      <c r="I204" s="32">
        <v>1.159</v>
      </c>
      <c r="J204" s="34">
        <v>6.4749999999999996</v>
      </c>
    </row>
    <row r="205" spans="1:10" x14ac:dyDescent="0.35">
      <c r="A205" s="31"/>
      <c r="B205" s="32"/>
      <c r="C205" s="32"/>
      <c r="D205" s="32"/>
      <c r="E205" s="32">
        <v>0.68200000000000005</v>
      </c>
      <c r="F205" s="32">
        <v>5.0750000000000002</v>
      </c>
      <c r="G205" s="32"/>
      <c r="H205" s="32"/>
      <c r="I205" s="32">
        <v>1.1879999999999999</v>
      </c>
      <c r="J205" s="34">
        <v>6.5</v>
      </c>
    </row>
    <row r="206" spans="1:10" x14ac:dyDescent="0.35">
      <c r="A206" s="31"/>
      <c r="B206" s="32"/>
      <c r="C206" s="32"/>
      <c r="D206" s="32"/>
      <c r="E206" s="32">
        <v>0.754</v>
      </c>
      <c r="F206" s="32">
        <v>5.0999999999999996</v>
      </c>
      <c r="G206" s="32"/>
      <c r="H206" s="32"/>
      <c r="I206" s="32">
        <v>1.2110000000000001</v>
      </c>
      <c r="J206" s="34">
        <v>6.5250000000000004</v>
      </c>
    </row>
    <row r="207" spans="1:10" x14ac:dyDescent="0.35">
      <c r="A207" s="31"/>
      <c r="B207" s="32"/>
      <c r="C207" s="32"/>
      <c r="D207" s="32"/>
      <c r="E207" s="32">
        <v>0.82199999999999995</v>
      </c>
      <c r="F207" s="32">
        <v>5.125</v>
      </c>
      <c r="G207" s="32"/>
      <c r="H207" s="32"/>
      <c r="I207" s="32">
        <v>1.228</v>
      </c>
      <c r="J207" s="34">
        <v>6.55</v>
      </c>
    </row>
    <row r="208" spans="1:10" x14ac:dyDescent="0.35">
      <c r="A208" s="31"/>
      <c r="B208" s="32"/>
      <c r="C208" s="32"/>
      <c r="D208" s="32"/>
      <c r="E208" s="32">
        <v>0.88600000000000001</v>
      </c>
      <c r="F208" s="32">
        <v>5.15</v>
      </c>
      <c r="G208" s="32"/>
      <c r="H208" s="32"/>
      <c r="I208" s="32">
        <v>1.2410000000000001</v>
      </c>
      <c r="J208" s="34">
        <v>6.5750000000000002</v>
      </c>
    </row>
    <row r="209" spans="1:10" x14ac:dyDescent="0.35">
      <c r="A209" s="31"/>
      <c r="B209" s="32"/>
      <c r="C209" s="32"/>
      <c r="D209" s="32"/>
      <c r="E209" s="32">
        <v>0.94599999999999995</v>
      </c>
      <c r="F209" s="32">
        <v>5.1749999999999998</v>
      </c>
      <c r="G209" s="32"/>
      <c r="H209" s="32"/>
      <c r="I209" s="32">
        <v>1.2470000000000001</v>
      </c>
      <c r="J209" s="34">
        <v>6.6</v>
      </c>
    </row>
    <row r="210" spans="1:10" x14ac:dyDescent="0.35">
      <c r="A210" s="31"/>
      <c r="B210" s="32"/>
      <c r="C210" s="32"/>
      <c r="D210" s="32"/>
      <c r="E210" s="32">
        <v>1.002</v>
      </c>
      <c r="F210" s="32">
        <v>5.2</v>
      </c>
      <c r="G210" s="32"/>
      <c r="H210" s="32"/>
      <c r="I210" s="32">
        <v>1.2490000000000001</v>
      </c>
      <c r="J210" s="34">
        <v>6.625</v>
      </c>
    </row>
    <row r="211" spans="1:10" x14ac:dyDescent="0.35">
      <c r="A211" s="31"/>
      <c r="B211" s="32"/>
      <c r="C211" s="32"/>
      <c r="D211" s="32"/>
      <c r="E211" s="32">
        <v>1.052</v>
      </c>
      <c r="F211" s="32">
        <v>5.2249999999999996</v>
      </c>
      <c r="G211" s="32"/>
      <c r="H211" s="32"/>
      <c r="I211" s="32">
        <v>1.246</v>
      </c>
      <c r="J211" s="34">
        <v>6.65</v>
      </c>
    </row>
    <row r="212" spans="1:10" x14ac:dyDescent="0.35">
      <c r="A212" s="31"/>
      <c r="B212" s="32"/>
      <c r="C212" s="32"/>
      <c r="D212" s="32"/>
      <c r="E212" s="32">
        <v>1.0980000000000001</v>
      </c>
      <c r="F212" s="32">
        <v>5.25</v>
      </c>
      <c r="G212" s="32"/>
      <c r="H212" s="32"/>
      <c r="I212" s="32">
        <v>1.2350000000000001</v>
      </c>
      <c r="J212" s="34">
        <v>6.6749999999999998</v>
      </c>
    </row>
    <row r="213" spans="1:10" x14ac:dyDescent="0.35">
      <c r="A213" s="31"/>
      <c r="B213" s="32"/>
      <c r="C213" s="32"/>
      <c r="D213" s="32"/>
      <c r="E213" s="32">
        <v>1.1399999999999999</v>
      </c>
      <c r="F213" s="32">
        <v>5.2750000000000004</v>
      </c>
      <c r="G213" s="32"/>
      <c r="H213" s="32"/>
      <c r="I213" s="32">
        <v>1.2210000000000001</v>
      </c>
      <c r="J213" s="34">
        <v>6.7</v>
      </c>
    </row>
    <row r="214" spans="1:10" x14ac:dyDescent="0.35">
      <c r="A214" s="31"/>
      <c r="B214" s="32"/>
      <c r="C214" s="32"/>
      <c r="D214" s="32"/>
      <c r="E214" s="32">
        <v>1.177</v>
      </c>
      <c r="F214" s="32">
        <v>5.3</v>
      </c>
      <c r="G214" s="32"/>
      <c r="H214" s="32"/>
      <c r="I214" s="32">
        <v>1.2</v>
      </c>
      <c r="J214" s="34">
        <v>6.7249999999999996</v>
      </c>
    </row>
    <row r="215" spans="1:10" x14ac:dyDescent="0.35">
      <c r="A215" s="31"/>
      <c r="B215" s="32"/>
      <c r="C215" s="32"/>
      <c r="D215" s="32"/>
      <c r="E215" s="32">
        <v>1.208</v>
      </c>
      <c r="F215" s="32">
        <v>5.3250000000000002</v>
      </c>
      <c r="G215" s="32"/>
      <c r="H215" s="32"/>
      <c r="I215" s="32">
        <v>1.177</v>
      </c>
      <c r="J215" s="34">
        <v>6.75</v>
      </c>
    </row>
    <row r="216" spans="1:10" x14ac:dyDescent="0.35">
      <c r="A216" s="31"/>
      <c r="B216" s="32"/>
      <c r="C216" s="32"/>
      <c r="D216" s="32"/>
      <c r="E216" s="32">
        <v>1.2330000000000001</v>
      </c>
      <c r="F216" s="32">
        <v>5.35</v>
      </c>
      <c r="G216" s="32"/>
      <c r="H216" s="32"/>
      <c r="I216" s="32">
        <v>1.147</v>
      </c>
      <c r="J216" s="34">
        <v>6.7750000000000004</v>
      </c>
    </row>
    <row r="217" spans="1:10" x14ac:dyDescent="0.35">
      <c r="A217" s="31"/>
      <c r="B217" s="32"/>
      <c r="C217" s="32"/>
      <c r="D217" s="32"/>
      <c r="E217" s="32">
        <v>1.2549999999999999</v>
      </c>
      <c r="F217" s="32">
        <v>5.375</v>
      </c>
      <c r="G217" s="32"/>
      <c r="H217" s="32"/>
      <c r="I217" s="32">
        <v>1.1140000000000001</v>
      </c>
      <c r="J217" s="34">
        <v>6.8</v>
      </c>
    </row>
    <row r="218" spans="1:10" x14ac:dyDescent="0.35">
      <c r="A218" s="31"/>
      <c r="B218" s="32"/>
      <c r="C218" s="32"/>
      <c r="D218" s="32"/>
      <c r="E218" s="32">
        <v>1.2709999999999999</v>
      </c>
      <c r="F218" s="32">
        <v>5.4</v>
      </c>
      <c r="G218" s="32"/>
      <c r="H218" s="32"/>
      <c r="I218" s="32">
        <v>1.0760000000000001</v>
      </c>
      <c r="J218" s="34">
        <v>6.8250000000000002</v>
      </c>
    </row>
    <row r="219" spans="1:10" x14ac:dyDescent="0.35">
      <c r="A219" s="31"/>
      <c r="B219" s="32"/>
      <c r="C219" s="32"/>
      <c r="D219" s="32"/>
      <c r="E219" s="32">
        <v>1.282</v>
      </c>
      <c r="F219" s="32">
        <v>5.4249999999999998</v>
      </c>
      <c r="G219" s="32"/>
      <c r="H219" s="32"/>
      <c r="I219" s="32">
        <v>1.0349999999999999</v>
      </c>
      <c r="J219" s="34">
        <v>6.85</v>
      </c>
    </row>
    <row r="220" spans="1:10" x14ac:dyDescent="0.35">
      <c r="A220" s="31"/>
      <c r="B220" s="32"/>
      <c r="C220" s="32"/>
      <c r="D220" s="32"/>
      <c r="E220" s="32">
        <v>1.286</v>
      </c>
      <c r="F220" s="32">
        <v>5.45</v>
      </c>
      <c r="G220" s="32"/>
      <c r="H220" s="32"/>
      <c r="I220" s="32">
        <v>0.99</v>
      </c>
      <c r="J220" s="34">
        <v>6.875</v>
      </c>
    </row>
    <row r="221" spans="1:10" x14ac:dyDescent="0.35">
      <c r="A221" s="31"/>
      <c r="B221" s="32"/>
      <c r="C221" s="32"/>
      <c r="D221" s="32"/>
      <c r="E221" s="32">
        <v>1.288</v>
      </c>
      <c r="F221" s="32">
        <v>5.4749999999999996</v>
      </c>
      <c r="G221" s="32"/>
      <c r="H221" s="32"/>
      <c r="I221" s="32">
        <v>0.94099999999999995</v>
      </c>
      <c r="J221" s="34">
        <v>6.9</v>
      </c>
    </row>
    <row r="222" spans="1:10" x14ac:dyDescent="0.35">
      <c r="A222" s="31"/>
      <c r="B222" s="32"/>
      <c r="C222" s="32"/>
      <c r="D222" s="32"/>
      <c r="E222" s="32">
        <v>1.2829999999999999</v>
      </c>
      <c r="F222" s="32">
        <v>5.5</v>
      </c>
      <c r="G222" s="32"/>
      <c r="H222" s="32"/>
      <c r="I222" s="32">
        <v>0.88900000000000001</v>
      </c>
      <c r="J222" s="34">
        <v>6.9249999999999998</v>
      </c>
    </row>
    <row r="223" spans="1:10" x14ac:dyDescent="0.35">
      <c r="A223" s="31"/>
      <c r="B223" s="32"/>
      <c r="C223" s="32"/>
      <c r="D223" s="32"/>
      <c r="E223" s="32">
        <v>1.274</v>
      </c>
      <c r="F223" s="32">
        <v>5.5250000000000004</v>
      </c>
      <c r="G223" s="32"/>
      <c r="H223" s="32"/>
      <c r="I223" s="32">
        <v>0.83399999999999996</v>
      </c>
      <c r="J223" s="34">
        <v>6.95</v>
      </c>
    </row>
    <row r="224" spans="1:10" x14ac:dyDescent="0.35">
      <c r="A224" s="31"/>
      <c r="B224" s="32"/>
      <c r="C224" s="32"/>
      <c r="D224" s="32"/>
      <c r="E224" s="32">
        <v>1.2609999999999999</v>
      </c>
      <c r="F224" s="32">
        <v>5.55</v>
      </c>
      <c r="G224" s="32"/>
      <c r="H224" s="32"/>
      <c r="I224" s="32">
        <v>0.77600000000000002</v>
      </c>
      <c r="J224" s="34">
        <v>6.9749999999999996</v>
      </c>
    </row>
    <row r="225" spans="1:10" x14ac:dyDescent="0.35">
      <c r="A225" s="31"/>
      <c r="B225" s="32"/>
      <c r="C225" s="32"/>
      <c r="D225" s="32"/>
      <c r="E225" s="32">
        <v>1.2430000000000001</v>
      </c>
      <c r="F225" s="32">
        <v>5.5750000000000002</v>
      </c>
      <c r="G225" s="32"/>
      <c r="H225" s="32"/>
      <c r="I225" s="32">
        <v>0.71599999999999997</v>
      </c>
      <c r="J225" s="34">
        <v>7</v>
      </c>
    </row>
    <row r="226" spans="1:10" x14ac:dyDescent="0.35">
      <c r="A226" s="31"/>
      <c r="B226" s="32"/>
      <c r="C226" s="32"/>
      <c r="D226" s="32"/>
      <c r="E226" s="32">
        <v>1.2210000000000001</v>
      </c>
      <c r="F226" s="32">
        <v>5.6</v>
      </c>
      <c r="G226" s="32"/>
      <c r="H226" s="32"/>
      <c r="I226" s="32">
        <v>0.65300000000000002</v>
      </c>
      <c r="J226" s="34">
        <v>7.0250000000000004</v>
      </c>
    </row>
    <row r="227" spans="1:10" x14ac:dyDescent="0.35">
      <c r="A227" s="31"/>
      <c r="B227" s="32"/>
      <c r="C227" s="32"/>
      <c r="D227" s="32"/>
      <c r="E227" s="32">
        <v>1.1919999999999999</v>
      </c>
      <c r="F227" s="32">
        <v>5.625</v>
      </c>
      <c r="G227" s="32"/>
      <c r="H227" s="32"/>
      <c r="I227" s="32">
        <v>0.58899999999999997</v>
      </c>
      <c r="J227" s="34">
        <v>7.05</v>
      </c>
    </row>
    <row r="228" spans="1:10" x14ac:dyDescent="0.35">
      <c r="A228" s="31"/>
      <c r="B228" s="32"/>
      <c r="C228" s="32"/>
      <c r="D228" s="32"/>
      <c r="E228" s="32">
        <v>1.1619999999999999</v>
      </c>
      <c r="F228" s="32">
        <v>5.65</v>
      </c>
      <c r="G228" s="32"/>
      <c r="H228" s="32"/>
      <c r="I228" s="32">
        <v>0.52300000000000002</v>
      </c>
      <c r="J228" s="34">
        <v>7.0750000000000002</v>
      </c>
    </row>
    <row r="229" spans="1:10" x14ac:dyDescent="0.35">
      <c r="A229" s="31"/>
      <c r="B229" s="32"/>
      <c r="C229" s="32"/>
      <c r="D229" s="32"/>
      <c r="E229" s="32">
        <v>1.1279999999999999</v>
      </c>
      <c r="F229" s="32">
        <v>5.6749999999999998</v>
      </c>
      <c r="G229" s="32"/>
      <c r="H229" s="32"/>
      <c r="I229" s="32">
        <v>0.45700000000000002</v>
      </c>
      <c r="J229" s="34">
        <v>7.1</v>
      </c>
    </row>
    <row r="230" spans="1:10" x14ac:dyDescent="0.35">
      <c r="A230" s="31"/>
      <c r="B230" s="32"/>
      <c r="C230" s="32"/>
      <c r="D230" s="32"/>
      <c r="E230" s="32">
        <v>1.089</v>
      </c>
      <c r="F230" s="32">
        <v>5.7</v>
      </c>
      <c r="G230" s="32"/>
      <c r="H230" s="32"/>
      <c r="I230" s="32">
        <v>0.38800000000000001</v>
      </c>
      <c r="J230" s="34">
        <v>7.125</v>
      </c>
    </row>
    <row r="231" spans="1:10" x14ac:dyDescent="0.35">
      <c r="A231" s="31"/>
      <c r="B231" s="32"/>
      <c r="C231" s="32"/>
      <c r="D231" s="32"/>
      <c r="E231" s="32">
        <v>1.048</v>
      </c>
      <c r="F231" s="32">
        <v>5.7249999999999996</v>
      </c>
      <c r="G231" s="32"/>
      <c r="H231" s="32"/>
      <c r="I231" s="32">
        <v>0.32</v>
      </c>
      <c r="J231" s="34">
        <v>7.15</v>
      </c>
    </row>
    <row r="232" spans="1:10" x14ac:dyDescent="0.35">
      <c r="A232" s="31"/>
      <c r="B232" s="32"/>
      <c r="C232" s="32"/>
      <c r="D232" s="32"/>
      <c r="E232" s="32">
        <v>1.002</v>
      </c>
      <c r="F232" s="32">
        <v>5.75</v>
      </c>
      <c r="G232" s="32"/>
      <c r="H232" s="32"/>
      <c r="I232" s="32">
        <v>0.251</v>
      </c>
      <c r="J232" s="34">
        <v>7.1749999999999998</v>
      </c>
    </row>
    <row r="233" spans="1:10" x14ac:dyDescent="0.35">
      <c r="A233" s="31"/>
      <c r="B233" s="32"/>
      <c r="C233" s="32"/>
      <c r="D233" s="32"/>
      <c r="E233" s="32">
        <v>0.95299999999999996</v>
      </c>
      <c r="F233" s="32">
        <v>5.7750000000000004</v>
      </c>
      <c r="G233" s="32"/>
      <c r="H233" s="32"/>
      <c r="I233" s="32">
        <v>0.182</v>
      </c>
      <c r="J233" s="34">
        <v>7.2</v>
      </c>
    </row>
    <row r="234" spans="1:10" x14ac:dyDescent="0.35">
      <c r="A234" s="31"/>
      <c r="B234" s="32"/>
      <c r="C234" s="32"/>
      <c r="D234" s="32"/>
      <c r="E234" s="32">
        <v>0.90300000000000002</v>
      </c>
      <c r="F234" s="32">
        <v>5.8</v>
      </c>
      <c r="G234" s="32"/>
      <c r="H234" s="32"/>
      <c r="I234" s="32">
        <v>0.113</v>
      </c>
      <c r="J234" s="34">
        <v>7.2249999999999996</v>
      </c>
    </row>
    <row r="235" spans="1:10" x14ac:dyDescent="0.35">
      <c r="A235" s="31"/>
      <c r="B235" s="32"/>
      <c r="C235" s="32"/>
      <c r="D235" s="32"/>
      <c r="E235" s="32">
        <v>0.84799999999999998</v>
      </c>
      <c r="F235" s="32">
        <v>5.8250000000000002</v>
      </c>
      <c r="G235" s="32"/>
      <c r="H235" s="32"/>
      <c r="I235" s="32">
        <v>4.5999999999999999E-2</v>
      </c>
      <c r="J235" s="34">
        <v>7.25</v>
      </c>
    </row>
    <row r="236" spans="1:10" x14ac:dyDescent="0.35">
      <c r="A236" s="31"/>
      <c r="B236" s="32"/>
      <c r="C236" s="32"/>
      <c r="D236" s="32"/>
      <c r="E236" s="32">
        <v>0.79300000000000004</v>
      </c>
      <c r="F236" s="32">
        <v>5.85</v>
      </c>
      <c r="G236" s="32"/>
      <c r="H236" s="32"/>
      <c r="I236" s="32">
        <v>-2.1999999999999999E-2</v>
      </c>
      <c r="J236" s="34">
        <v>7.2750000000000004</v>
      </c>
    </row>
    <row r="237" spans="1:10" x14ac:dyDescent="0.35">
      <c r="A237" s="31"/>
      <c r="B237" s="32"/>
      <c r="C237" s="32"/>
      <c r="D237" s="32"/>
      <c r="E237" s="32">
        <v>0.73499999999999999</v>
      </c>
      <c r="F237" s="32">
        <v>5.875</v>
      </c>
      <c r="G237" s="32"/>
      <c r="H237" s="32"/>
      <c r="I237" s="32">
        <v>-8.7999999999999995E-2</v>
      </c>
      <c r="J237" s="34">
        <v>7.3</v>
      </c>
    </row>
    <row r="238" spans="1:10" x14ac:dyDescent="0.35">
      <c r="A238" s="31"/>
      <c r="B238" s="32"/>
      <c r="C238" s="32"/>
      <c r="D238" s="32"/>
      <c r="E238" s="32">
        <v>0.67700000000000005</v>
      </c>
      <c r="F238" s="32">
        <v>5.9</v>
      </c>
      <c r="G238" s="32"/>
      <c r="H238" s="32"/>
      <c r="I238" s="32">
        <v>-0.152</v>
      </c>
      <c r="J238" s="34">
        <v>7.3250000000000002</v>
      </c>
    </row>
    <row r="239" spans="1:10" x14ac:dyDescent="0.35">
      <c r="A239" s="31"/>
      <c r="B239" s="32"/>
      <c r="C239" s="32"/>
      <c r="D239" s="32"/>
      <c r="E239" s="32">
        <v>0.61599999999999999</v>
      </c>
      <c r="F239" s="32">
        <v>5.9249999999999998</v>
      </c>
      <c r="G239" s="32"/>
      <c r="H239" s="32"/>
      <c r="I239" s="32">
        <v>-0.215</v>
      </c>
      <c r="J239" s="34">
        <v>7.35</v>
      </c>
    </row>
    <row r="240" spans="1:10" x14ac:dyDescent="0.35">
      <c r="A240" s="31"/>
      <c r="B240" s="32"/>
      <c r="C240" s="32"/>
      <c r="D240" s="32"/>
      <c r="E240" s="32">
        <v>0.55400000000000005</v>
      </c>
      <c r="F240" s="32">
        <v>5.95</v>
      </c>
      <c r="G240" s="32"/>
      <c r="H240" s="32"/>
      <c r="I240" s="32">
        <v>-0.27600000000000002</v>
      </c>
      <c r="J240" s="34">
        <v>7.375</v>
      </c>
    </row>
    <row r="241" spans="1:10" x14ac:dyDescent="0.35">
      <c r="A241" s="31"/>
      <c r="B241" s="32"/>
      <c r="C241" s="32"/>
      <c r="D241" s="32"/>
      <c r="E241" s="32">
        <v>0.49299999999999999</v>
      </c>
      <c r="F241" s="32">
        <v>5.9749999999999996</v>
      </c>
      <c r="G241" s="32"/>
      <c r="H241" s="32"/>
      <c r="I241" s="32">
        <v>-0.33600000000000002</v>
      </c>
      <c r="J241" s="34">
        <v>7.4</v>
      </c>
    </row>
    <row r="242" spans="1:10" x14ac:dyDescent="0.35">
      <c r="A242" s="31"/>
      <c r="B242" s="32"/>
      <c r="C242" s="32"/>
      <c r="D242" s="32"/>
      <c r="E242" s="32">
        <v>0.42899999999999999</v>
      </c>
      <c r="F242" s="32">
        <v>6</v>
      </c>
      <c r="G242" s="32"/>
      <c r="H242" s="32"/>
      <c r="I242" s="32">
        <v>-0.39300000000000002</v>
      </c>
      <c r="J242" s="34">
        <v>7.4249999999999998</v>
      </c>
    </row>
    <row r="243" spans="1:10" x14ac:dyDescent="0.35">
      <c r="A243" s="31"/>
      <c r="B243" s="32"/>
      <c r="C243" s="32"/>
      <c r="D243" s="32"/>
      <c r="E243" s="32">
        <v>0.36599999999999999</v>
      </c>
      <c r="F243" s="32">
        <v>6.0250000000000004</v>
      </c>
      <c r="G243" s="32"/>
      <c r="H243" s="32"/>
      <c r="I243" s="32">
        <v>-0.44800000000000001</v>
      </c>
      <c r="J243" s="34">
        <v>7.45</v>
      </c>
    </row>
    <row r="244" spans="1:10" x14ac:dyDescent="0.35">
      <c r="A244" s="31"/>
      <c r="B244" s="32"/>
      <c r="C244" s="32"/>
      <c r="D244" s="32"/>
      <c r="E244" s="32">
        <v>0.30299999999999999</v>
      </c>
      <c r="F244" s="32">
        <v>6.05</v>
      </c>
      <c r="G244" s="32"/>
      <c r="H244" s="32"/>
      <c r="I244" s="32">
        <v>-0.5</v>
      </c>
      <c r="J244" s="34">
        <v>7.4749999999999996</v>
      </c>
    </row>
    <row r="245" spans="1:10" x14ac:dyDescent="0.35">
      <c r="A245" s="31"/>
      <c r="B245" s="32"/>
      <c r="C245" s="32"/>
      <c r="D245" s="32"/>
      <c r="E245" s="32">
        <v>0.24</v>
      </c>
      <c r="F245" s="32">
        <v>6.0750000000000002</v>
      </c>
      <c r="G245" s="32"/>
      <c r="H245" s="32"/>
      <c r="I245" s="32">
        <v>-0.54800000000000004</v>
      </c>
      <c r="J245" s="34">
        <v>7.5</v>
      </c>
    </row>
    <row r="246" spans="1:10" x14ac:dyDescent="0.35">
      <c r="A246" s="31"/>
      <c r="B246" s="32"/>
      <c r="C246" s="32"/>
      <c r="D246" s="32"/>
      <c r="E246" s="32">
        <v>0.17799999999999999</v>
      </c>
      <c r="F246" s="32">
        <v>6.1</v>
      </c>
      <c r="G246" s="32"/>
      <c r="H246" s="32"/>
      <c r="I246" s="32">
        <v>-0.59399999999999997</v>
      </c>
      <c r="J246" s="34">
        <v>7.5250000000000004</v>
      </c>
    </row>
    <row r="247" spans="1:10" x14ac:dyDescent="0.35">
      <c r="A247" s="31"/>
      <c r="B247" s="32"/>
      <c r="C247" s="32"/>
      <c r="D247" s="32"/>
      <c r="E247" s="32">
        <v>0.11600000000000001</v>
      </c>
      <c r="F247" s="32">
        <v>6.125</v>
      </c>
      <c r="G247" s="32"/>
      <c r="H247" s="32"/>
      <c r="I247" s="32">
        <v>-0.63800000000000001</v>
      </c>
      <c r="J247" s="34">
        <v>7.55</v>
      </c>
    </row>
    <row r="248" spans="1:10" x14ac:dyDescent="0.35">
      <c r="A248" s="31"/>
      <c r="B248" s="32"/>
      <c r="C248" s="32"/>
      <c r="D248" s="32"/>
      <c r="E248" s="32">
        <v>5.5E-2</v>
      </c>
      <c r="F248" s="32">
        <v>6.15</v>
      </c>
      <c r="G248" s="32"/>
      <c r="H248" s="32"/>
      <c r="I248" s="32">
        <v>-0.67500000000000004</v>
      </c>
      <c r="J248" s="34">
        <v>7.5750000000000002</v>
      </c>
    </row>
    <row r="249" spans="1:10" x14ac:dyDescent="0.35">
      <c r="A249" s="31"/>
      <c r="B249" s="32"/>
      <c r="C249" s="32"/>
      <c r="D249" s="32"/>
      <c r="E249" s="32">
        <v>-3.0000000000000001E-3</v>
      </c>
      <c r="F249" s="32">
        <v>6.1749999999999998</v>
      </c>
      <c r="G249" s="32"/>
      <c r="H249" s="32"/>
      <c r="I249" s="32">
        <v>-0.71299999999999997</v>
      </c>
      <c r="J249" s="34">
        <v>7.6</v>
      </c>
    </row>
    <row r="250" spans="1:10" x14ac:dyDescent="0.35">
      <c r="A250" s="31"/>
      <c r="B250" s="32"/>
      <c r="C250" s="32"/>
      <c r="D250" s="32"/>
      <c r="E250" s="32">
        <v>-6.0999999999999999E-2</v>
      </c>
      <c r="F250" s="32">
        <v>6.2</v>
      </c>
      <c r="G250" s="32"/>
      <c r="H250" s="32"/>
      <c r="I250" s="32">
        <v>-0.745</v>
      </c>
      <c r="J250" s="34">
        <v>7.625</v>
      </c>
    </row>
    <row r="251" spans="1:10" x14ac:dyDescent="0.35">
      <c r="A251" s="31"/>
      <c r="B251" s="32"/>
      <c r="C251" s="32"/>
      <c r="D251" s="32"/>
      <c r="E251" s="32">
        <v>-0.11799999999999999</v>
      </c>
      <c r="F251" s="32">
        <v>6.2249999999999996</v>
      </c>
      <c r="G251" s="32"/>
      <c r="H251" s="32"/>
      <c r="I251" s="32">
        <v>-0.77400000000000002</v>
      </c>
      <c r="J251" s="34">
        <v>7.65</v>
      </c>
    </row>
    <row r="252" spans="1:10" x14ac:dyDescent="0.35">
      <c r="A252" s="31"/>
      <c r="B252" s="32"/>
      <c r="C252" s="32"/>
      <c r="D252" s="32"/>
      <c r="E252" s="32">
        <v>-0.17100000000000001</v>
      </c>
      <c r="F252" s="32">
        <v>6.25</v>
      </c>
      <c r="G252" s="32"/>
      <c r="H252" s="32"/>
      <c r="I252" s="32">
        <v>-0.79800000000000004</v>
      </c>
      <c r="J252" s="34">
        <v>7.6749999999999998</v>
      </c>
    </row>
    <row r="253" spans="1:10" x14ac:dyDescent="0.35">
      <c r="A253" s="31"/>
      <c r="B253" s="32"/>
      <c r="C253" s="32"/>
      <c r="D253" s="32"/>
      <c r="E253" s="32">
        <v>-0.22500000000000001</v>
      </c>
      <c r="F253" s="32">
        <v>6.2750000000000004</v>
      </c>
      <c r="G253" s="32"/>
      <c r="H253" s="32"/>
      <c r="I253" s="32">
        <v>-0.82</v>
      </c>
      <c r="J253" s="34">
        <v>7.7</v>
      </c>
    </row>
    <row r="254" spans="1:10" x14ac:dyDescent="0.35">
      <c r="A254" s="31"/>
      <c r="B254" s="32"/>
      <c r="C254" s="32"/>
      <c r="D254" s="32"/>
      <c r="E254" s="32">
        <v>-0.27300000000000002</v>
      </c>
      <c r="F254" s="32">
        <v>6.3</v>
      </c>
      <c r="G254" s="32"/>
      <c r="H254" s="32"/>
      <c r="I254" s="32">
        <v>-0.83699999999999997</v>
      </c>
      <c r="J254" s="34">
        <v>7.7249999999999996</v>
      </c>
    </row>
    <row r="255" spans="1:10" x14ac:dyDescent="0.35">
      <c r="A255" s="31"/>
      <c r="B255" s="32"/>
      <c r="C255" s="32"/>
      <c r="D255" s="32"/>
      <c r="E255" s="32">
        <v>-0.32200000000000001</v>
      </c>
      <c r="F255" s="32">
        <v>6.3250000000000002</v>
      </c>
      <c r="G255" s="32"/>
      <c r="H255" s="32"/>
      <c r="I255" s="32">
        <v>-0.85</v>
      </c>
      <c r="J255" s="34">
        <v>7.75</v>
      </c>
    </row>
    <row r="256" spans="1:10" x14ac:dyDescent="0.35">
      <c r="A256" s="31"/>
      <c r="B256" s="32"/>
      <c r="C256" s="32"/>
      <c r="D256" s="32"/>
      <c r="E256" s="32">
        <v>-0.36599999999999999</v>
      </c>
      <c r="F256" s="32">
        <v>6.35</v>
      </c>
      <c r="G256" s="32"/>
      <c r="H256" s="32"/>
      <c r="I256" s="32">
        <v>-0.85899999999999999</v>
      </c>
      <c r="J256" s="34">
        <v>7.7750000000000004</v>
      </c>
    </row>
    <row r="257" spans="1:10" x14ac:dyDescent="0.35">
      <c r="A257" s="31"/>
      <c r="B257" s="32"/>
      <c r="C257" s="32"/>
      <c r="D257" s="32"/>
      <c r="E257" s="32">
        <v>-0.40799999999999997</v>
      </c>
      <c r="F257" s="32">
        <v>6.375</v>
      </c>
      <c r="G257" s="32"/>
      <c r="H257" s="32"/>
      <c r="I257" s="32">
        <v>-0.86399999999999999</v>
      </c>
      <c r="J257" s="34">
        <v>7.8</v>
      </c>
    </row>
    <row r="258" spans="1:10" x14ac:dyDescent="0.35">
      <c r="A258" s="31"/>
      <c r="B258" s="32"/>
      <c r="C258" s="32"/>
      <c r="D258" s="32"/>
      <c r="E258" s="32">
        <v>-0.44800000000000001</v>
      </c>
      <c r="F258" s="32">
        <v>6.4</v>
      </c>
      <c r="G258" s="32"/>
      <c r="H258" s="32"/>
      <c r="I258" s="32">
        <v>-0.86599999999999999</v>
      </c>
      <c r="J258" s="34">
        <v>7.8250000000000002</v>
      </c>
    </row>
    <row r="259" spans="1:10" x14ac:dyDescent="0.35">
      <c r="A259" s="31"/>
      <c r="B259" s="32"/>
      <c r="C259" s="32"/>
      <c r="D259" s="32"/>
      <c r="E259" s="32">
        <v>-0.48399999999999999</v>
      </c>
      <c r="F259" s="32">
        <v>6.4249999999999998</v>
      </c>
      <c r="G259" s="32"/>
      <c r="H259" s="32"/>
      <c r="I259" s="32">
        <v>-0.86399999999999999</v>
      </c>
      <c r="J259" s="34">
        <v>7.85</v>
      </c>
    </row>
    <row r="260" spans="1:10" x14ac:dyDescent="0.35">
      <c r="A260" s="31"/>
      <c r="B260" s="32"/>
      <c r="C260" s="32"/>
      <c r="D260" s="32"/>
      <c r="E260" s="32">
        <v>-0.51700000000000002</v>
      </c>
      <c r="F260" s="32">
        <v>6.45</v>
      </c>
      <c r="G260" s="32"/>
      <c r="H260" s="32"/>
      <c r="I260" s="32">
        <v>-0.85799999999999998</v>
      </c>
      <c r="J260" s="34">
        <v>7.875</v>
      </c>
    </row>
    <row r="261" spans="1:10" x14ac:dyDescent="0.35">
      <c r="A261" s="31"/>
      <c r="B261" s="32"/>
      <c r="C261" s="32"/>
      <c r="D261" s="32"/>
      <c r="E261" s="32">
        <v>-0.54700000000000004</v>
      </c>
      <c r="F261" s="32">
        <v>6.4749999999999996</v>
      </c>
      <c r="G261" s="32"/>
      <c r="H261" s="32"/>
      <c r="I261" s="32">
        <v>-0.84799999999999998</v>
      </c>
      <c r="J261" s="34">
        <v>7.9</v>
      </c>
    </row>
    <row r="262" spans="1:10" x14ac:dyDescent="0.35">
      <c r="A262" s="31"/>
      <c r="B262" s="32"/>
      <c r="C262" s="32"/>
      <c r="D262" s="32"/>
      <c r="E262" s="32">
        <v>-0.57299999999999995</v>
      </c>
      <c r="F262" s="32">
        <v>6.5</v>
      </c>
      <c r="G262" s="32"/>
      <c r="H262" s="32"/>
      <c r="I262" s="32">
        <v>-0.83599999999999997</v>
      </c>
      <c r="J262" s="34">
        <v>7.9249999999999998</v>
      </c>
    </row>
    <row r="263" spans="1:10" x14ac:dyDescent="0.35">
      <c r="A263" s="31"/>
      <c r="B263" s="32"/>
      <c r="C263" s="32"/>
      <c r="D263" s="32"/>
      <c r="E263" s="32">
        <v>-0.59699999999999998</v>
      </c>
      <c r="F263" s="32">
        <v>6.5250000000000004</v>
      </c>
      <c r="G263" s="32"/>
      <c r="H263" s="32"/>
      <c r="I263" s="32">
        <v>-0.81799999999999995</v>
      </c>
      <c r="J263" s="34">
        <v>7.95</v>
      </c>
    </row>
    <row r="264" spans="1:10" x14ac:dyDescent="0.35">
      <c r="A264" s="31"/>
      <c r="B264" s="32"/>
      <c r="C264" s="32"/>
      <c r="D264" s="32"/>
      <c r="E264" s="32">
        <v>-0.61599999999999999</v>
      </c>
      <c r="F264" s="32">
        <v>6.55</v>
      </c>
      <c r="G264" s="32"/>
      <c r="H264" s="32"/>
      <c r="I264" s="32">
        <v>-0.8</v>
      </c>
      <c r="J264" s="34">
        <v>7.9749999999999996</v>
      </c>
    </row>
    <row r="265" spans="1:10" x14ac:dyDescent="0.35">
      <c r="A265" s="31"/>
      <c r="B265" s="32"/>
      <c r="C265" s="32"/>
      <c r="D265" s="32"/>
      <c r="E265" s="32">
        <v>-0.63100000000000001</v>
      </c>
      <c r="F265" s="32">
        <v>6.5750000000000002</v>
      </c>
      <c r="G265" s="32"/>
      <c r="H265" s="32"/>
      <c r="I265" s="32">
        <v>-0.77800000000000002</v>
      </c>
      <c r="J265" s="34">
        <v>8</v>
      </c>
    </row>
    <row r="266" spans="1:10" x14ac:dyDescent="0.35">
      <c r="A266" s="31"/>
      <c r="B266" s="32"/>
      <c r="C266" s="32"/>
      <c r="D266" s="32"/>
      <c r="E266" s="32">
        <v>-0.64400000000000002</v>
      </c>
      <c r="F266" s="32">
        <v>6.6</v>
      </c>
      <c r="G266" s="32"/>
      <c r="H266" s="32"/>
      <c r="I266" s="32">
        <v>-0.752</v>
      </c>
      <c r="J266" s="34">
        <v>8.0250000000000004</v>
      </c>
    </row>
    <row r="267" spans="1:10" x14ac:dyDescent="0.35">
      <c r="A267" s="31"/>
      <c r="B267" s="32"/>
      <c r="C267" s="32"/>
      <c r="D267" s="32"/>
      <c r="E267" s="32">
        <v>-0.65200000000000002</v>
      </c>
      <c r="F267" s="32">
        <v>6.625</v>
      </c>
      <c r="G267" s="32"/>
      <c r="H267" s="32"/>
      <c r="I267" s="32">
        <v>-0.72399999999999998</v>
      </c>
      <c r="J267" s="34">
        <v>8.0500000000000007</v>
      </c>
    </row>
    <row r="268" spans="1:10" x14ac:dyDescent="0.35">
      <c r="A268" s="31"/>
      <c r="B268" s="32"/>
      <c r="C268" s="32"/>
      <c r="D268" s="32"/>
      <c r="E268" s="32">
        <v>-0.65800000000000003</v>
      </c>
      <c r="F268" s="32">
        <v>6.65</v>
      </c>
      <c r="G268" s="32"/>
      <c r="H268" s="32"/>
      <c r="I268" s="32">
        <v>-0.69399999999999995</v>
      </c>
      <c r="J268" s="34">
        <v>8.0749999999999993</v>
      </c>
    </row>
    <row r="269" spans="1:10" x14ac:dyDescent="0.35">
      <c r="A269" s="31"/>
      <c r="B269" s="32"/>
      <c r="C269" s="32"/>
      <c r="D269" s="32"/>
      <c r="E269" s="32">
        <v>-0.65800000000000003</v>
      </c>
      <c r="F269" s="32">
        <v>6.6749999999999998</v>
      </c>
      <c r="G269" s="32"/>
      <c r="H269" s="32"/>
      <c r="I269" s="32">
        <v>-0.66100000000000003</v>
      </c>
      <c r="J269" s="34">
        <v>8.1</v>
      </c>
    </row>
    <row r="270" spans="1:10" x14ac:dyDescent="0.35">
      <c r="A270" s="31"/>
      <c r="B270" s="32"/>
      <c r="C270" s="32"/>
      <c r="D270" s="32"/>
      <c r="E270" s="32">
        <v>-0.65800000000000003</v>
      </c>
      <c r="F270" s="32">
        <v>6.7</v>
      </c>
      <c r="G270" s="32"/>
      <c r="H270" s="32"/>
      <c r="I270" s="32">
        <v>-0.627</v>
      </c>
      <c r="J270" s="34">
        <v>8.125</v>
      </c>
    </row>
    <row r="271" spans="1:10" x14ac:dyDescent="0.35">
      <c r="A271" s="31"/>
      <c r="B271" s="32"/>
      <c r="C271" s="32"/>
      <c r="D271" s="32"/>
      <c r="E271" s="32">
        <v>-0.65200000000000002</v>
      </c>
      <c r="F271" s="32">
        <v>6.7249999999999996</v>
      </c>
      <c r="G271" s="32"/>
      <c r="H271" s="32"/>
      <c r="I271" s="32">
        <v>-0.59099999999999997</v>
      </c>
      <c r="J271" s="34">
        <v>8.15</v>
      </c>
    </row>
    <row r="272" spans="1:10" x14ac:dyDescent="0.35">
      <c r="A272" s="31"/>
      <c r="B272" s="32"/>
      <c r="C272" s="32"/>
      <c r="D272" s="32"/>
      <c r="E272" s="32">
        <v>-0.64400000000000002</v>
      </c>
      <c r="F272" s="32">
        <v>6.75</v>
      </c>
      <c r="G272" s="32"/>
      <c r="H272" s="32"/>
      <c r="I272" s="32">
        <v>-0.55300000000000005</v>
      </c>
      <c r="J272" s="34">
        <v>8.1750000000000007</v>
      </c>
    </row>
    <row r="273" spans="1:10" x14ac:dyDescent="0.35">
      <c r="A273" s="31"/>
      <c r="B273" s="32"/>
      <c r="C273" s="32"/>
      <c r="D273" s="32"/>
      <c r="E273" s="32">
        <v>-0.63100000000000001</v>
      </c>
      <c r="F273" s="32">
        <v>6.7750000000000004</v>
      </c>
      <c r="G273" s="32"/>
      <c r="H273" s="32"/>
      <c r="I273" s="32">
        <v>-0.51200000000000001</v>
      </c>
      <c r="J273" s="34">
        <v>8.1999999999999993</v>
      </c>
    </row>
    <row r="274" spans="1:10" x14ac:dyDescent="0.35">
      <c r="A274" s="31"/>
      <c r="B274" s="32"/>
      <c r="C274" s="32"/>
      <c r="D274" s="32"/>
      <c r="E274" s="32">
        <v>-0.61699999999999999</v>
      </c>
      <c r="F274" s="32">
        <v>6.8</v>
      </c>
      <c r="G274" s="32"/>
      <c r="H274" s="32"/>
      <c r="I274" s="32">
        <v>-0.47099999999999997</v>
      </c>
      <c r="J274" s="34">
        <v>8.2249999999999996</v>
      </c>
    </row>
    <row r="275" spans="1:10" x14ac:dyDescent="0.35">
      <c r="A275" s="31"/>
      <c r="B275" s="32"/>
      <c r="C275" s="32"/>
      <c r="D275" s="32"/>
      <c r="E275" s="32">
        <v>-0.6</v>
      </c>
      <c r="F275" s="32">
        <v>6.8250000000000002</v>
      </c>
      <c r="G275" s="32"/>
      <c r="H275" s="32"/>
      <c r="I275" s="32">
        <v>-0.42899999999999999</v>
      </c>
      <c r="J275" s="34">
        <v>8.25</v>
      </c>
    </row>
    <row r="276" spans="1:10" x14ac:dyDescent="0.35">
      <c r="A276" s="31"/>
      <c r="B276" s="32"/>
      <c r="C276" s="32"/>
      <c r="D276" s="32"/>
      <c r="E276" s="32">
        <v>-0.57999999999999996</v>
      </c>
      <c r="F276" s="32">
        <v>6.85</v>
      </c>
      <c r="G276" s="32"/>
      <c r="H276" s="32"/>
      <c r="I276" s="32">
        <v>-0.38500000000000001</v>
      </c>
      <c r="J276" s="34">
        <v>8.2750000000000004</v>
      </c>
    </row>
    <row r="277" spans="1:10" x14ac:dyDescent="0.35">
      <c r="A277" s="31"/>
      <c r="B277" s="32"/>
      <c r="C277" s="32"/>
      <c r="D277" s="32"/>
      <c r="E277" s="32">
        <v>-0.55600000000000005</v>
      </c>
      <c r="F277" s="32">
        <v>6.875</v>
      </c>
      <c r="G277" s="32"/>
      <c r="H277" s="32"/>
      <c r="I277" s="32">
        <v>-0.33900000000000002</v>
      </c>
      <c r="J277" s="34">
        <v>8.3000000000000007</v>
      </c>
    </row>
    <row r="278" spans="1:10" x14ac:dyDescent="0.35">
      <c r="A278" s="31"/>
      <c r="B278" s="32"/>
      <c r="C278" s="32"/>
      <c r="D278" s="32"/>
      <c r="E278" s="32">
        <v>-0.53100000000000003</v>
      </c>
      <c r="F278" s="32">
        <v>6.9</v>
      </c>
      <c r="G278" s="32"/>
      <c r="H278" s="32"/>
      <c r="I278" s="32">
        <v>-0.29399999999999998</v>
      </c>
      <c r="J278" s="34">
        <v>8.3249999999999993</v>
      </c>
    </row>
    <row r="279" spans="1:10" x14ac:dyDescent="0.35">
      <c r="A279" s="31"/>
      <c r="B279" s="32"/>
      <c r="C279" s="32"/>
      <c r="D279" s="32"/>
      <c r="E279" s="32">
        <v>-0.504</v>
      </c>
      <c r="F279" s="32">
        <v>6.9249999999999998</v>
      </c>
      <c r="G279" s="32"/>
      <c r="H279" s="32"/>
      <c r="I279" s="32">
        <v>-0.248</v>
      </c>
      <c r="J279" s="34">
        <v>8.35</v>
      </c>
    </row>
    <row r="280" spans="1:10" x14ac:dyDescent="0.35">
      <c r="A280" s="31"/>
      <c r="B280" s="32"/>
      <c r="C280" s="32"/>
      <c r="D280" s="32"/>
      <c r="E280" s="32">
        <v>-0.47399999999999998</v>
      </c>
      <c r="F280" s="32">
        <v>6.95</v>
      </c>
      <c r="G280" s="32"/>
      <c r="H280" s="32"/>
      <c r="I280" s="32">
        <v>-0.20300000000000001</v>
      </c>
      <c r="J280" s="34">
        <v>8.375</v>
      </c>
    </row>
    <row r="281" spans="1:10" x14ac:dyDescent="0.35">
      <c r="A281" s="31"/>
      <c r="B281" s="32"/>
      <c r="C281" s="32"/>
      <c r="D281" s="32"/>
      <c r="E281" s="32"/>
      <c r="F281" s="32"/>
      <c r="G281" s="32"/>
      <c r="H281" s="32"/>
      <c r="I281" s="32">
        <v>-0.156</v>
      </c>
      <c r="J281" s="34">
        <v>8.4</v>
      </c>
    </row>
    <row r="282" spans="1:10" x14ac:dyDescent="0.35">
      <c r="A282" s="31"/>
      <c r="B282" s="32"/>
      <c r="C282" s="32"/>
      <c r="D282" s="32"/>
      <c r="E282" s="32"/>
      <c r="F282" s="32"/>
      <c r="G282" s="32"/>
      <c r="H282" s="32"/>
      <c r="I282" s="32">
        <v>-0.11</v>
      </c>
      <c r="J282" s="34">
        <v>8.4250000000000007</v>
      </c>
    </row>
    <row r="283" spans="1:10" x14ac:dyDescent="0.35">
      <c r="A283" s="31"/>
      <c r="B283" s="32"/>
      <c r="C283" s="32"/>
      <c r="D283" s="32"/>
      <c r="E283" s="32"/>
      <c r="F283" s="32"/>
      <c r="G283" s="32"/>
      <c r="H283" s="32"/>
      <c r="I283" s="32">
        <v>-6.4000000000000001E-2</v>
      </c>
      <c r="J283" s="34">
        <v>8.4499999999999993</v>
      </c>
    </row>
    <row r="284" spans="1:10" x14ac:dyDescent="0.35">
      <c r="A284" s="31"/>
      <c r="B284" s="32"/>
      <c r="C284" s="32"/>
      <c r="D284" s="32"/>
      <c r="E284" s="32"/>
      <c r="F284" s="32"/>
      <c r="G284" s="32"/>
      <c r="H284" s="32"/>
      <c r="I284" s="32">
        <v>-1.7000000000000001E-2</v>
      </c>
      <c r="J284" s="34">
        <v>8.4749999999999996</v>
      </c>
    </row>
    <row r="285" spans="1:10" x14ac:dyDescent="0.35">
      <c r="A285" s="31"/>
      <c r="B285" s="32"/>
      <c r="C285" s="32"/>
      <c r="D285" s="32"/>
      <c r="E285" s="32"/>
      <c r="F285" s="32"/>
      <c r="G285" s="32"/>
      <c r="H285" s="32"/>
      <c r="I285" s="32">
        <v>2.7E-2</v>
      </c>
      <c r="J285" s="34">
        <v>8.5</v>
      </c>
    </row>
    <row r="286" spans="1:10" x14ac:dyDescent="0.35">
      <c r="A286" s="31"/>
      <c r="B286" s="32"/>
      <c r="C286" s="32"/>
      <c r="D286" s="32"/>
      <c r="E286" s="32"/>
      <c r="F286" s="32"/>
      <c r="G286" s="32"/>
      <c r="H286" s="32"/>
      <c r="I286" s="32">
        <v>7.0999999999999994E-2</v>
      </c>
      <c r="J286" s="34">
        <v>8.5250000000000004</v>
      </c>
    </row>
    <row r="287" spans="1:10" x14ac:dyDescent="0.35">
      <c r="A287" s="31"/>
      <c r="B287" s="32"/>
      <c r="C287" s="32"/>
      <c r="D287" s="32"/>
      <c r="E287" s="32"/>
      <c r="F287" s="32"/>
      <c r="G287" s="32"/>
      <c r="H287" s="32"/>
      <c r="I287" s="32">
        <v>0.113</v>
      </c>
      <c r="J287" s="34">
        <v>8.5500000000000007</v>
      </c>
    </row>
    <row r="288" spans="1:10" x14ac:dyDescent="0.35">
      <c r="A288" s="31"/>
      <c r="B288" s="32"/>
      <c r="C288" s="32"/>
      <c r="D288" s="32"/>
      <c r="E288" s="32"/>
      <c r="F288" s="32"/>
      <c r="G288" s="32"/>
      <c r="H288" s="32"/>
      <c r="I288" s="32">
        <v>0.156</v>
      </c>
      <c r="J288" s="34">
        <v>8.5749999999999993</v>
      </c>
    </row>
    <row r="289" spans="1:10" x14ac:dyDescent="0.35">
      <c r="A289" s="31"/>
      <c r="B289" s="32"/>
      <c r="C289" s="32"/>
      <c r="D289" s="32"/>
      <c r="E289" s="32"/>
      <c r="F289" s="32"/>
      <c r="G289" s="32"/>
      <c r="H289" s="32"/>
      <c r="I289" s="32">
        <v>0.19600000000000001</v>
      </c>
      <c r="J289" s="34">
        <v>8.6</v>
      </c>
    </row>
    <row r="290" spans="1:10" x14ac:dyDescent="0.35">
      <c r="A290" s="31"/>
      <c r="B290" s="32"/>
      <c r="C290" s="32"/>
      <c r="D290" s="32"/>
      <c r="E290" s="32"/>
      <c r="F290" s="32"/>
      <c r="G290" s="32"/>
      <c r="H290" s="32"/>
      <c r="I290" s="32">
        <v>0.23599999999999999</v>
      </c>
      <c r="J290" s="34">
        <v>8.625</v>
      </c>
    </row>
    <row r="291" spans="1:10" x14ac:dyDescent="0.35">
      <c r="A291" s="31"/>
      <c r="B291" s="32"/>
      <c r="C291" s="32"/>
      <c r="D291" s="32"/>
      <c r="E291" s="32"/>
      <c r="F291" s="32"/>
      <c r="G291" s="32"/>
      <c r="H291" s="32"/>
      <c r="I291" s="32">
        <v>0.27300000000000002</v>
      </c>
      <c r="J291" s="34">
        <v>8.65</v>
      </c>
    </row>
    <row r="292" spans="1:10" x14ac:dyDescent="0.35">
      <c r="A292" s="31"/>
      <c r="B292" s="32"/>
      <c r="C292" s="32"/>
      <c r="D292" s="32"/>
      <c r="E292" s="32"/>
      <c r="F292" s="32"/>
      <c r="G292" s="32"/>
      <c r="H292" s="32"/>
      <c r="I292" s="32">
        <v>0.308</v>
      </c>
      <c r="J292" s="34">
        <v>8.6750000000000007</v>
      </c>
    </row>
    <row r="293" spans="1:10" x14ac:dyDescent="0.35">
      <c r="A293" s="31"/>
      <c r="B293" s="32"/>
      <c r="C293" s="32"/>
      <c r="D293" s="32"/>
      <c r="E293" s="32"/>
      <c r="F293" s="32"/>
      <c r="G293" s="32"/>
      <c r="H293" s="32"/>
      <c r="I293" s="32">
        <v>0.34200000000000003</v>
      </c>
      <c r="J293" s="34">
        <v>8.6999999999999993</v>
      </c>
    </row>
    <row r="294" spans="1:10" x14ac:dyDescent="0.35">
      <c r="A294" s="31"/>
      <c r="B294" s="32"/>
      <c r="C294" s="32"/>
      <c r="D294" s="32"/>
      <c r="E294" s="32"/>
      <c r="F294" s="32"/>
      <c r="G294" s="32"/>
      <c r="H294" s="32"/>
      <c r="I294" s="32">
        <v>0.374</v>
      </c>
      <c r="J294" s="34">
        <v>8.7249999999999996</v>
      </c>
    </row>
    <row r="295" spans="1:10" x14ac:dyDescent="0.35">
      <c r="A295" s="31"/>
      <c r="B295" s="32"/>
      <c r="C295" s="32"/>
      <c r="D295" s="32"/>
      <c r="E295" s="32"/>
      <c r="F295" s="32"/>
      <c r="G295" s="32"/>
      <c r="H295" s="32"/>
      <c r="I295" s="32">
        <v>0.40400000000000003</v>
      </c>
      <c r="J295" s="34">
        <v>8.75</v>
      </c>
    </row>
    <row r="296" spans="1:10" x14ac:dyDescent="0.35">
      <c r="A296" s="31"/>
      <c r="B296" s="32"/>
      <c r="C296" s="32"/>
      <c r="D296" s="32"/>
      <c r="E296" s="32"/>
      <c r="F296" s="32"/>
      <c r="G296" s="32"/>
      <c r="H296" s="32"/>
      <c r="I296" s="32">
        <v>0.43</v>
      </c>
      <c r="J296" s="34">
        <v>8.7750000000000004</v>
      </c>
    </row>
    <row r="297" spans="1:10" x14ac:dyDescent="0.35">
      <c r="A297" s="31"/>
      <c r="B297" s="32"/>
      <c r="C297" s="32"/>
      <c r="D297" s="32"/>
      <c r="E297" s="32"/>
      <c r="F297" s="32"/>
      <c r="G297" s="32"/>
      <c r="H297" s="32"/>
      <c r="I297" s="32">
        <v>0.45600000000000002</v>
      </c>
      <c r="J297" s="34">
        <v>8.8000000000000007</v>
      </c>
    </row>
    <row r="298" spans="1:10" x14ac:dyDescent="0.35">
      <c r="A298" s="31"/>
      <c r="B298" s="32"/>
      <c r="C298" s="32"/>
      <c r="D298" s="32"/>
      <c r="E298" s="32"/>
      <c r="F298" s="32"/>
      <c r="G298" s="32"/>
      <c r="H298" s="32"/>
      <c r="I298" s="32">
        <v>0.47799999999999998</v>
      </c>
      <c r="J298" s="34">
        <v>8.8249999999999993</v>
      </c>
    </row>
    <row r="299" spans="1:10" x14ac:dyDescent="0.35">
      <c r="A299" s="31"/>
      <c r="B299" s="32"/>
      <c r="C299" s="32"/>
      <c r="D299" s="32"/>
      <c r="E299" s="32"/>
      <c r="F299" s="32"/>
      <c r="G299" s="32"/>
      <c r="H299" s="32"/>
      <c r="I299" s="32">
        <v>0.496</v>
      </c>
      <c r="J299" s="34">
        <v>8.85</v>
      </c>
    </row>
    <row r="300" spans="1:10" x14ac:dyDescent="0.35">
      <c r="A300" s="31"/>
      <c r="B300" s="32"/>
      <c r="C300" s="32"/>
      <c r="D300" s="32"/>
      <c r="E300" s="32"/>
      <c r="F300" s="32"/>
      <c r="G300" s="32"/>
      <c r="H300" s="32"/>
      <c r="I300" s="32">
        <v>0.51400000000000001</v>
      </c>
      <c r="J300" s="34">
        <v>8.875</v>
      </c>
    </row>
    <row r="301" spans="1:10" x14ac:dyDescent="0.35">
      <c r="A301" s="31"/>
      <c r="B301" s="32"/>
      <c r="C301" s="32"/>
      <c r="D301" s="32"/>
      <c r="E301" s="32"/>
      <c r="F301" s="32"/>
      <c r="G301" s="32"/>
      <c r="H301" s="32"/>
      <c r="I301" s="32">
        <v>0.52900000000000003</v>
      </c>
      <c r="J301" s="34">
        <v>8.9</v>
      </c>
    </row>
    <row r="302" spans="1:10" x14ac:dyDescent="0.35">
      <c r="A302" s="31"/>
      <c r="B302" s="32"/>
      <c r="C302" s="32"/>
      <c r="D302" s="32"/>
      <c r="E302" s="32"/>
      <c r="F302" s="32"/>
      <c r="G302" s="32"/>
      <c r="H302" s="32"/>
      <c r="I302" s="32">
        <v>0.54</v>
      </c>
      <c r="J302" s="34">
        <v>8.9250000000000007</v>
      </c>
    </row>
    <row r="303" spans="1:10" x14ac:dyDescent="0.35">
      <c r="A303" s="31"/>
      <c r="B303" s="32"/>
      <c r="C303" s="32"/>
      <c r="D303" s="32"/>
      <c r="E303" s="32"/>
      <c r="F303" s="32"/>
      <c r="G303" s="32"/>
      <c r="H303" s="32"/>
      <c r="I303" s="32">
        <v>0.55000000000000004</v>
      </c>
      <c r="J303" s="34">
        <v>8.9499999999999993</v>
      </c>
    </row>
    <row r="304" spans="1:10" x14ac:dyDescent="0.35">
      <c r="A304" s="31"/>
      <c r="B304" s="32"/>
      <c r="C304" s="32"/>
      <c r="D304" s="32"/>
      <c r="E304" s="32"/>
      <c r="F304" s="32"/>
      <c r="G304" s="32"/>
      <c r="H304" s="32"/>
      <c r="I304" s="32">
        <v>0.55600000000000005</v>
      </c>
      <c r="J304" s="34">
        <v>8.9749999999999996</v>
      </c>
    </row>
    <row r="305" spans="1:10" x14ac:dyDescent="0.35">
      <c r="A305" s="31"/>
      <c r="B305" s="32"/>
      <c r="C305" s="32"/>
      <c r="D305" s="32"/>
      <c r="E305" s="32"/>
      <c r="F305" s="32"/>
      <c r="G305" s="32"/>
      <c r="H305" s="32"/>
      <c r="I305" s="32">
        <v>0.55900000000000005</v>
      </c>
      <c r="J305" s="34">
        <v>9</v>
      </c>
    </row>
    <row r="306" spans="1:10" x14ac:dyDescent="0.35">
      <c r="A306" s="31"/>
      <c r="B306" s="32"/>
      <c r="C306" s="32"/>
      <c r="D306" s="32"/>
      <c r="E306" s="32"/>
      <c r="F306" s="32"/>
      <c r="G306" s="32"/>
      <c r="H306" s="32"/>
      <c r="I306" s="32">
        <v>0.56100000000000005</v>
      </c>
      <c r="J306" s="34">
        <v>9.0250000000000004</v>
      </c>
    </row>
    <row r="307" spans="1:10" x14ac:dyDescent="0.35">
      <c r="A307" s="31"/>
      <c r="B307" s="32"/>
      <c r="C307" s="32"/>
      <c r="D307" s="32"/>
      <c r="E307" s="32"/>
      <c r="F307" s="32"/>
      <c r="G307" s="32"/>
      <c r="H307" s="32"/>
      <c r="I307" s="32">
        <v>0.56100000000000005</v>
      </c>
      <c r="J307" s="34">
        <v>9.0500000000000007</v>
      </c>
    </row>
    <row r="308" spans="1:10" x14ac:dyDescent="0.35">
      <c r="A308" s="31"/>
      <c r="B308" s="32"/>
      <c r="C308" s="32"/>
      <c r="D308" s="32"/>
      <c r="E308" s="32"/>
      <c r="F308" s="32"/>
      <c r="G308" s="32"/>
      <c r="H308" s="32"/>
      <c r="I308" s="32">
        <v>0.55800000000000005</v>
      </c>
      <c r="J308" s="34">
        <v>9.0749999999999993</v>
      </c>
    </row>
    <row r="309" spans="1:10" x14ac:dyDescent="0.35">
      <c r="A309" s="31"/>
      <c r="B309" s="32"/>
      <c r="C309" s="32"/>
      <c r="D309" s="32"/>
      <c r="E309" s="32"/>
      <c r="F309" s="32"/>
      <c r="G309" s="32"/>
      <c r="H309" s="32"/>
      <c r="I309" s="32">
        <v>0.55100000000000005</v>
      </c>
      <c r="J309" s="34">
        <v>9.1</v>
      </c>
    </row>
    <row r="310" spans="1:10" x14ac:dyDescent="0.35">
      <c r="A310" s="31"/>
      <c r="B310" s="32"/>
      <c r="C310" s="32"/>
      <c r="D310" s="32"/>
      <c r="E310" s="32"/>
      <c r="F310" s="32"/>
      <c r="G310" s="32"/>
      <c r="H310" s="32"/>
      <c r="I310" s="32">
        <v>0.54300000000000004</v>
      </c>
      <c r="J310" s="34">
        <v>9.125</v>
      </c>
    </row>
    <row r="311" spans="1:10" x14ac:dyDescent="0.35">
      <c r="A311" s="31"/>
      <c r="B311" s="32"/>
      <c r="C311" s="32"/>
      <c r="D311" s="32"/>
      <c r="E311" s="32"/>
      <c r="F311" s="32"/>
      <c r="G311" s="32"/>
      <c r="H311" s="32"/>
      <c r="I311" s="32">
        <v>0.53300000000000003</v>
      </c>
      <c r="J311" s="34">
        <v>9.15</v>
      </c>
    </row>
    <row r="312" spans="1:10" x14ac:dyDescent="0.35">
      <c r="A312" s="31"/>
      <c r="B312" s="32"/>
      <c r="C312" s="32"/>
      <c r="D312" s="32"/>
      <c r="E312" s="32"/>
      <c r="F312" s="32"/>
      <c r="G312" s="32"/>
      <c r="H312" s="32"/>
      <c r="I312" s="32">
        <v>0.52200000000000002</v>
      </c>
      <c r="J312" s="34">
        <v>9.1750000000000007</v>
      </c>
    </row>
    <row r="313" spans="1:10" x14ac:dyDescent="0.35">
      <c r="A313" s="31"/>
      <c r="B313" s="32"/>
      <c r="C313" s="32"/>
      <c r="D313" s="32"/>
      <c r="E313" s="32"/>
      <c r="F313" s="32"/>
      <c r="G313" s="32"/>
      <c r="H313" s="32"/>
      <c r="I313" s="32">
        <v>0.50700000000000001</v>
      </c>
      <c r="J313" s="34">
        <v>9.1999999999999993</v>
      </c>
    </row>
    <row r="314" spans="1:10" x14ac:dyDescent="0.35">
      <c r="A314" s="31"/>
      <c r="B314" s="32"/>
      <c r="C314" s="32"/>
      <c r="D314" s="32"/>
      <c r="E314" s="32"/>
      <c r="F314" s="32"/>
      <c r="G314" s="32"/>
      <c r="H314" s="32"/>
      <c r="I314" s="32">
        <v>0.49</v>
      </c>
      <c r="J314" s="34">
        <v>9.2249999999999996</v>
      </c>
    </row>
    <row r="315" spans="1:10" x14ac:dyDescent="0.35">
      <c r="A315" s="31"/>
      <c r="B315" s="32"/>
      <c r="C315" s="32"/>
      <c r="D315" s="32"/>
      <c r="E315" s="32"/>
      <c r="F315" s="32"/>
      <c r="G315" s="32"/>
      <c r="H315" s="32"/>
      <c r="I315" s="32">
        <v>0.47299999999999998</v>
      </c>
      <c r="J315" s="34">
        <v>9.25</v>
      </c>
    </row>
    <row r="316" spans="1:10" x14ac:dyDescent="0.35">
      <c r="A316" s="31"/>
      <c r="B316" s="32"/>
      <c r="C316" s="32"/>
      <c r="D316" s="32"/>
      <c r="E316" s="32"/>
      <c r="F316" s="32"/>
      <c r="G316" s="32"/>
      <c r="H316" s="32"/>
      <c r="I316" s="32">
        <v>0.45400000000000001</v>
      </c>
      <c r="J316" s="34">
        <v>9.2750000000000004</v>
      </c>
    </row>
    <row r="317" spans="1:10" x14ac:dyDescent="0.35">
      <c r="A317" s="31"/>
      <c r="B317" s="32"/>
      <c r="C317" s="32"/>
      <c r="D317" s="32"/>
      <c r="E317" s="32"/>
      <c r="F317" s="32"/>
      <c r="G317" s="32"/>
      <c r="H317" s="32"/>
      <c r="I317" s="32">
        <v>0.434</v>
      </c>
      <c r="J317" s="34">
        <v>9.3000000000000007</v>
      </c>
    </row>
    <row r="318" spans="1:10" x14ac:dyDescent="0.35">
      <c r="A318" s="31"/>
      <c r="B318" s="32"/>
      <c r="C318" s="32"/>
      <c r="D318" s="32"/>
      <c r="E318" s="32"/>
      <c r="F318" s="32"/>
      <c r="G318" s="32"/>
      <c r="H318" s="32"/>
      <c r="I318" s="32">
        <v>0.41199999999999998</v>
      </c>
      <c r="J318" s="34">
        <v>9.3249999999999993</v>
      </c>
    </row>
    <row r="319" spans="1:10" x14ac:dyDescent="0.35">
      <c r="A319" s="31"/>
      <c r="B319" s="32"/>
      <c r="C319" s="32"/>
      <c r="D319" s="32"/>
      <c r="E319" s="32"/>
      <c r="F319" s="32"/>
      <c r="G319" s="32"/>
      <c r="H319" s="32"/>
      <c r="I319" s="32">
        <v>0.38800000000000001</v>
      </c>
      <c r="J319" s="34">
        <v>9.35</v>
      </c>
    </row>
    <row r="320" spans="1:10" x14ac:dyDescent="0.35">
      <c r="A320" s="31"/>
      <c r="B320" s="32"/>
      <c r="C320" s="32"/>
      <c r="D320" s="32"/>
      <c r="E320" s="32"/>
      <c r="F320" s="32"/>
      <c r="G320" s="32"/>
      <c r="H320" s="32"/>
      <c r="I320" s="32">
        <v>0.36299999999999999</v>
      </c>
      <c r="J320" s="34">
        <v>9.375</v>
      </c>
    </row>
    <row r="321" spans="1:10" x14ac:dyDescent="0.35">
      <c r="A321" s="31"/>
      <c r="B321" s="32"/>
      <c r="C321" s="32"/>
      <c r="D321" s="32"/>
      <c r="E321" s="32"/>
      <c r="F321" s="32"/>
      <c r="G321" s="32"/>
      <c r="H321" s="32"/>
      <c r="I321" s="32">
        <v>0.33800000000000002</v>
      </c>
      <c r="J321" s="34">
        <v>9.4</v>
      </c>
    </row>
    <row r="322" spans="1:10" x14ac:dyDescent="0.35">
      <c r="A322" s="31"/>
      <c r="B322" s="32"/>
      <c r="C322" s="32"/>
      <c r="D322" s="32"/>
      <c r="E322" s="32"/>
      <c r="F322" s="32"/>
      <c r="G322" s="32"/>
      <c r="H322" s="32"/>
      <c r="I322" s="32">
        <v>0.311</v>
      </c>
      <c r="J322" s="34">
        <v>9.4250000000000007</v>
      </c>
    </row>
    <row r="323" spans="1:10" x14ac:dyDescent="0.35">
      <c r="A323" s="31"/>
      <c r="B323" s="32"/>
      <c r="C323" s="32"/>
      <c r="D323" s="32"/>
      <c r="E323" s="32"/>
      <c r="F323" s="32"/>
      <c r="G323" s="32"/>
      <c r="H323" s="32"/>
      <c r="I323" s="32">
        <v>0.28399999999999997</v>
      </c>
      <c r="J323" s="34">
        <v>9.4499999999999993</v>
      </c>
    </row>
    <row r="324" spans="1:10" x14ac:dyDescent="0.35">
      <c r="A324" s="35"/>
      <c r="B324" s="36"/>
      <c r="C324" s="36"/>
      <c r="D324" s="36"/>
      <c r="E324" s="36"/>
      <c r="F324" s="36"/>
      <c r="G324" s="36"/>
      <c r="H324" s="36"/>
      <c r="I324" s="36"/>
      <c r="J324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F64B-25D7-448A-900D-CF4AB7F7EBBC}">
  <dimension ref="A1:N23"/>
  <sheetViews>
    <sheetView tabSelected="1" topLeftCell="A6" workbookViewId="0">
      <selection activeCell="C10" sqref="C10"/>
    </sheetView>
  </sheetViews>
  <sheetFormatPr defaultRowHeight="12.75" x14ac:dyDescent="0.35"/>
  <cols>
    <col min="1" max="1" width="14.86328125" customWidth="1"/>
    <col min="2" max="2" width="13.265625" customWidth="1"/>
    <col min="3" max="3" width="13.1328125" customWidth="1"/>
    <col min="4" max="4" width="11.59765625" customWidth="1"/>
    <col min="9" max="9" width="13.1328125" customWidth="1"/>
    <col min="10" max="10" width="15" customWidth="1"/>
  </cols>
  <sheetData>
    <row r="1" spans="1:12" x14ac:dyDescent="0.35">
      <c r="A1" s="4" t="s">
        <v>16</v>
      </c>
      <c r="B1" s="5" t="s">
        <v>17</v>
      </c>
      <c r="C1" s="5" t="s">
        <v>18</v>
      </c>
      <c r="D1" s="5" t="s">
        <v>19</v>
      </c>
      <c r="E1" s="5" t="s">
        <v>47</v>
      </c>
      <c r="F1" s="5" t="s">
        <v>21</v>
      </c>
      <c r="G1" s="5" t="s">
        <v>48</v>
      </c>
      <c r="H1" s="5" t="s">
        <v>23</v>
      </c>
      <c r="I1" s="5" t="s">
        <v>49</v>
      </c>
      <c r="J1" s="6" t="s">
        <v>25</v>
      </c>
    </row>
    <row r="2" spans="1:12" x14ac:dyDescent="0.35">
      <c r="A2" s="20">
        <v>0.25600000000000001</v>
      </c>
      <c r="B2" s="20">
        <v>4.5999999999999999E-3</v>
      </c>
      <c r="C2" s="20">
        <v>2.57</v>
      </c>
      <c r="D2" s="20">
        <v>4.4000000000000003E-3</v>
      </c>
      <c r="E2" s="20">
        <f>SQRT(A5^2+C5^2)</f>
        <v>2.6209779086798761</v>
      </c>
      <c r="F2" s="20">
        <f>E2*SQRT((D5/C5)^2+(B5/A5)^2)</f>
        <v>5.861388954933708E-3</v>
      </c>
      <c r="G2" s="20">
        <f>E2/2</f>
        <v>1.3104889543399381</v>
      </c>
      <c r="H2" s="20">
        <f>F2/2</f>
        <v>2.930694477466854E-3</v>
      </c>
      <c r="I2" s="20">
        <f>E2*2</f>
        <v>5.2419558173597522</v>
      </c>
      <c r="J2" s="20">
        <f>F2*2</f>
        <v>1.1722777909867416E-2</v>
      </c>
    </row>
    <row r="3" spans="1:12" x14ac:dyDescent="0.35">
      <c r="A3" s="13">
        <v>0.26700000000000002</v>
      </c>
      <c r="B3" s="13">
        <v>2.0999999999999999E-3</v>
      </c>
      <c r="C3" s="13">
        <v>2.59</v>
      </c>
      <c r="D3" s="13">
        <v>1.9E-3</v>
      </c>
      <c r="E3" s="13"/>
      <c r="F3" s="13"/>
      <c r="G3" s="13"/>
      <c r="H3" s="13"/>
      <c r="I3" s="13"/>
      <c r="J3" s="13"/>
    </row>
    <row r="4" spans="1:12" x14ac:dyDescent="0.35">
      <c r="A4" s="13">
        <v>0.27400000000000002</v>
      </c>
      <c r="B4" s="13">
        <f>6.4*10^-4</f>
        <v>6.4000000000000005E-4</v>
      </c>
      <c r="C4" s="13">
        <v>2.61</v>
      </c>
      <c r="D4" s="13">
        <f>7.1*10^-4</f>
        <v>7.1000000000000002E-4</v>
      </c>
      <c r="E4" s="13"/>
      <c r="F4" s="13"/>
      <c r="G4" s="13"/>
      <c r="H4" s="13"/>
      <c r="I4" s="13"/>
      <c r="J4" s="13"/>
    </row>
    <row r="5" spans="1:12" ht="13.15" thickBot="1" x14ac:dyDescent="0.4">
      <c r="A5" s="14">
        <f>((A2/B2^2)+(A3/B3^2)+(A4/B4^2))/((1/B2^2)+(1/B3^2)+(1/B4^2))</f>
        <v>0.27310217908105011</v>
      </c>
      <c r="B5" s="14">
        <f>SQRT(1/((1/B2^2)+(1/B3^2)+(1/B4^2)))</f>
        <v>6.0684990176478428E-4</v>
      </c>
      <c r="C5" s="14">
        <f>((C2/D2^2)+(C3/D3^2)+(C4/D4^2))/((1/D2^2)+(1/D3^2)+(1/D4^2))</f>
        <v>2.6067106470740322</v>
      </c>
      <c r="D5" s="14">
        <f>SQRT(1/((1/D2^2)+(1/D3^2)+(1/D4^2)))</f>
        <v>6.5761093737006307E-4</v>
      </c>
      <c r="E5" s="14"/>
      <c r="F5" s="14"/>
      <c r="G5" s="14"/>
      <c r="H5" s="14"/>
      <c r="I5" s="14"/>
      <c r="J5" s="14"/>
    </row>
    <row r="6" spans="1:12" ht="13.15" thickBot="1" x14ac:dyDescent="0.4">
      <c r="A6" s="16" t="s">
        <v>31</v>
      </c>
      <c r="B6" s="23" t="s">
        <v>32</v>
      </c>
      <c r="C6" s="24" t="s">
        <v>33</v>
      </c>
      <c r="D6" s="16" t="s">
        <v>34</v>
      </c>
      <c r="E6" s="39" t="s">
        <v>35</v>
      </c>
      <c r="F6" s="40"/>
      <c r="G6" s="41"/>
      <c r="H6" s="16" t="s">
        <v>36</v>
      </c>
      <c r="I6" s="25" t="s">
        <v>37</v>
      </c>
      <c r="J6" s="16" t="s">
        <v>50</v>
      </c>
      <c r="K6" s="42" t="s">
        <v>38</v>
      </c>
      <c r="L6" s="25" t="s">
        <v>39</v>
      </c>
    </row>
    <row r="7" spans="1:12" x14ac:dyDescent="0.35">
      <c r="A7" s="13">
        <v>1.8</v>
      </c>
      <c r="B7" s="21">
        <v>1.31</v>
      </c>
      <c r="C7" s="21">
        <v>9.1E-4</v>
      </c>
      <c r="D7" s="8">
        <f t="shared" ref="D7:D16" si="0">2*PI()/B7</f>
        <v>4.79632466196915</v>
      </c>
      <c r="E7" s="13">
        <f t="shared" ref="E7:E16" si="1">2*PI()/B7</f>
        <v>4.79632466196915</v>
      </c>
      <c r="F7" s="13">
        <v>4.84</v>
      </c>
      <c r="G7" s="13">
        <v>4.74</v>
      </c>
      <c r="H7" s="13">
        <v>4.82</v>
      </c>
      <c r="I7" s="13">
        <f>AVERAGE(F7:H7)</f>
        <v>4.8</v>
      </c>
      <c r="J7" s="13">
        <f>2*PI()/I7</f>
        <v>1.3089969389957472</v>
      </c>
      <c r="K7" s="43">
        <v>2.21</v>
      </c>
      <c r="L7" s="44">
        <v>1.7000000000000001E-2</v>
      </c>
    </row>
    <row r="8" spans="1:12" x14ac:dyDescent="0.35">
      <c r="A8" s="13">
        <v>1.82</v>
      </c>
      <c r="B8" s="13">
        <v>1.36</v>
      </c>
      <c r="C8" s="13">
        <f>8.9*10^-4</f>
        <v>8.9000000000000006E-4</v>
      </c>
      <c r="D8" s="8">
        <f t="shared" si="0"/>
        <v>4.6199891964555775</v>
      </c>
      <c r="E8" s="13">
        <f t="shared" si="1"/>
        <v>4.6199891964555775</v>
      </c>
      <c r="F8" s="13">
        <v>4.6100000000000003</v>
      </c>
      <c r="G8" s="13">
        <v>4.5999999999999996</v>
      </c>
      <c r="H8" s="13">
        <v>4.6500000000000004</v>
      </c>
      <c r="I8" s="13">
        <f>AVERAGE(F8:H8)</f>
        <v>4.62</v>
      </c>
      <c r="J8" s="13">
        <f>2*PI()/I8</f>
        <v>1.3599968197358412</v>
      </c>
      <c r="K8" s="7">
        <v>2.2400000000000002</v>
      </c>
      <c r="L8" s="8">
        <v>1.4999999999999999E-2</v>
      </c>
    </row>
    <row r="9" spans="1:12" x14ac:dyDescent="0.35">
      <c r="A9" s="13">
        <v>2.2999999999999998</v>
      </c>
      <c r="B9" s="13">
        <v>1.91</v>
      </c>
      <c r="C9" s="13">
        <v>1.3999999999999999E-4</v>
      </c>
      <c r="D9" s="8">
        <f t="shared" si="0"/>
        <v>3.2896258152772706</v>
      </c>
      <c r="E9" s="13">
        <f t="shared" si="1"/>
        <v>3.2896258152772706</v>
      </c>
      <c r="F9" s="13">
        <v>3.3</v>
      </c>
      <c r="G9" s="13">
        <v>3.29</v>
      </c>
      <c r="H9" s="13">
        <v>3.29</v>
      </c>
      <c r="I9" s="13">
        <f t="shared" ref="I9" si="2">AVERAGE(F9:H9)</f>
        <v>3.293333333333333</v>
      </c>
      <c r="J9" s="13">
        <f t="shared" ref="J9" si="3">2*PI()/I9</f>
        <v>1.9078497896294293</v>
      </c>
      <c r="K9" s="7">
        <v>3.38</v>
      </c>
      <c r="L9" s="8">
        <v>3.7000000000000002E-3</v>
      </c>
    </row>
    <row r="10" spans="1:12" x14ac:dyDescent="0.35">
      <c r="A10" s="13">
        <v>3.4</v>
      </c>
      <c r="B10" s="13">
        <v>3.38</v>
      </c>
      <c r="C10" s="13"/>
      <c r="D10" s="8">
        <f t="shared" si="0"/>
        <v>1.8589305642543155</v>
      </c>
      <c r="E10" s="13">
        <f t="shared" si="1"/>
        <v>1.8589305642543155</v>
      </c>
      <c r="F10" s="13">
        <v>1.86</v>
      </c>
      <c r="G10" s="13">
        <v>1.86</v>
      </c>
      <c r="H10" s="13">
        <v>1.85</v>
      </c>
      <c r="I10" s="13">
        <f>AVERAGE(F10:H10)</f>
        <v>1.8566666666666667</v>
      </c>
      <c r="J10" s="13">
        <f t="shared" ref="J10:J16" si="4">2*PI()/I10</f>
        <v>3.384121350366025</v>
      </c>
      <c r="K10" s="7">
        <v>2.36</v>
      </c>
      <c r="L10" s="8">
        <v>2E-3</v>
      </c>
    </row>
    <row r="11" spans="1:12" x14ac:dyDescent="0.35">
      <c r="A11" s="13">
        <v>3.8</v>
      </c>
      <c r="B11" s="13">
        <v>3.89</v>
      </c>
      <c r="C11" s="13"/>
      <c r="D11" s="8">
        <f t="shared" si="0"/>
        <v>1.6152147319227728</v>
      </c>
      <c r="E11" s="13">
        <f t="shared" si="1"/>
        <v>1.6152147319227728</v>
      </c>
      <c r="F11" s="13">
        <v>1.62</v>
      </c>
      <c r="G11" s="13">
        <v>1.62</v>
      </c>
      <c r="H11" s="13">
        <v>1.61</v>
      </c>
      <c r="I11" s="13">
        <f>AVERAGE(F11:H11)</f>
        <v>1.6166666666666669</v>
      </c>
      <c r="J11" s="13">
        <f t="shared" si="4"/>
        <v>3.8865063755750011</v>
      </c>
      <c r="K11" s="7">
        <v>1.36</v>
      </c>
      <c r="L11" s="8">
        <v>2.3E-3</v>
      </c>
    </row>
    <row r="12" spans="1:12" x14ac:dyDescent="0.35">
      <c r="A12" s="13">
        <v>4</v>
      </c>
      <c r="B12" s="13">
        <v>4.0599999999999996</v>
      </c>
      <c r="C12" s="13"/>
      <c r="D12" s="8">
        <f t="shared" si="0"/>
        <v>1.5475825879752676</v>
      </c>
      <c r="E12" s="13">
        <f t="shared" si="1"/>
        <v>1.5475825879752676</v>
      </c>
      <c r="F12" s="13">
        <v>1.54</v>
      </c>
      <c r="G12" s="13">
        <v>1.55</v>
      </c>
      <c r="H12" s="13">
        <v>1.55</v>
      </c>
      <c r="I12" s="13">
        <f>AVERAGE(F12:H12)</f>
        <v>1.5466666666666666</v>
      </c>
      <c r="J12" s="13">
        <f t="shared" si="4"/>
        <v>4.062404293435077</v>
      </c>
      <c r="K12" s="7">
        <v>1.17</v>
      </c>
      <c r="L12" s="8">
        <v>2.2000000000000001E-3</v>
      </c>
    </row>
    <row r="13" spans="1:12" x14ac:dyDescent="0.35">
      <c r="A13" s="13">
        <v>4.3</v>
      </c>
      <c r="B13" s="13">
        <v>4.5</v>
      </c>
      <c r="C13" s="13"/>
      <c r="D13" s="8">
        <f t="shared" si="0"/>
        <v>1.3962634015954636</v>
      </c>
      <c r="E13" s="13">
        <f t="shared" si="1"/>
        <v>1.3962634015954636</v>
      </c>
      <c r="F13" s="13">
        <v>1.4</v>
      </c>
      <c r="G13" s="13">
        <v>1.4</v>
      </c>
      <c r="H13" s="13">
        <v>1.4</v>
      </c>
      <c r="I13" s="13">
        <f>AVERAGE(G13:H13)</f>
        <v>1.4</v>
      </c>
      <c r="J13" s="13">
        <f t="shared" si="4"/>
        <v>4.4879895051282759</v>
      </c>
      <c r="K13" s="7">
        <v>0.84499999999999997</v>
      </c>
      <c r="L13" s="8">
        <v>1.2999999999999999E-3</v>
      </c>
    </row>
    <row r="14" spans="1:12" x14ac:dyDescent="0.35">
      <c r="A14" s="13">
        <v>4.5999999999999996</v>
      </c>
      <c r="B14" s="13">
        <v>4.88</v>
      </c>
      <c r="C14" s="13"/>
      <c r="D14" s="8">
        <f t="shared" si="0"/>
        <v>1.2875379727827021</v>
      </c>
      <c r="E14" s="13">
        <f t="shared" si="1"/>
        <v>1.2875379727827021</v>
      </c>
      <c r="F14" s="13">
        <v>1.3</v>
      </c>
      <c r="G14" s="13">
        <v>1.29</v>
      </c>
      <c r="H14" s="13">
        <v>1.28</v>
      </c>
      <c r="I14" s="13">
        <f>AVERAGE(F14:H14)</f>
        <v>1.29</v>
      </c>
      <c r="J14" s="13">
        <f t="shared" si="4"/>
        <v>4.8706862846353376</v>
      </c>
      <c r="K14" s="7">
        <v>0.67300000000000004</v>
      </c>
      <c r="L14" s="8">
        <v>1E-3</v>
      </c>
    </row>
    <row r="15" spans="1:12" x14ac:dyDescent="0.35">
      <c r="A15" s="13">
        <v>4.8</v>
      </c>
      <c r="B15" s="13">
        <v>5.1100000000000003</v>
      </c>
      <c r="C15" s="13"/>
      <c r="D15" s="8">
        <f t="shared" si="0"/>
        <v>1.2295861657885687</v>
      </c>
      <c r="E15" s="13">
        <f t="shared" si="1"/>
        <v>1.2295861657885687</v>
      </c>
      <c r="F15" s="13">
        <v>1.22</v>
      </c>
      <c r="G15" s="13">
        <v>1.23</v>
      </c>
      <c r="H15" s="13">
        <v>1.23</v>
      </c>
      <c r="I15" s="13">
        <f>AVERAGE(F15:H15)</f>
        <v>1.2266666666666668</v>
      </c>
      <c r="J15" s="13">
        <f t="shared" si="4"/>
        <v>5.122161935200749</v>
      </c>
      <c r="K15" s="7">
        <v>0.59299999999999997</v>
      </c>
      <c r="L15" s="8">
        <v>7.4999999999999993E-5</v>
      </c>
    </row>
    <row r="16" spans="1:12" ht="13.15" thickBot="1" x14ac:dyDescent="0.4">
      <c r="A16" s="14">
        <v>4.9000000000000004</v>
      </c>
      <c r="B16" s="14">
        <v>5.23</v>
      </c>
      <c r="C16" s="14"/>
      <c r="D16" s="11">
        <f t="shared" si="0"/>
        <v>1.2013738637054656</v>
      </c>
      <c r="E16" s="14">
        <f t="shared" si="1"/>
        <v>1.2013738637054656</v>
      </c>
      <c r="F16" s="14">
        <v>1.2</v>
      </c>
      <c r="G16" s="14">
        <v>1.2</v>
      </c>
      <c r="H16" s="14">
        <v>1.2</v>
      </c>
      <c r="I16" s="14">
        <f>AVERAGE(F16:H16)</f>
        <v>1.2</v>
      </c>
      <c r="J16" s="38">
        <f t="shared" si="4"/>
        <v>5.2359877559829888</v>
      </c>
      <c r="K16" s="9">
        <v>0.55700000000000005</v>
      </c>
      <c r="L16" s="11">
        <v>6.0000000000000002E-5</v>
      </c>
    </row>
    <row r="23" spans="14:14" x14ac:dyDescent="0.35">
      <c r="N23" s="26"/>
    </row>
  </sheetData>
  <mergeCells count="1">
    <mergeCell ref="E6:G6"/>
  </mergeCells>
  <pageMargins left="0.7" right="0.7" top="0.75" bottom="0.75" header="0.3" footer="0.3"/>
  <ignoredErrors>
    <ignoredError sqref="B5:C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46E5DF961F39408DE43B15EF6999B1" ma:contentTypeVersion="11" ma:contentTypeDescription="Creare un nuovo documento." ma:contentTypeScope="" ma:versionID="254c620abb66516fcb15e42ffae33bb8">
  <xsd:schema xmlns:xsd="http://www.w3.org/2001/XMLSchema" xmlns:xs="http://www.w3.org/2001/XMLSchema" xmlns:p="http://schemas.microsoft.com/office/2006/metadata/properties" xmlns:ns3="d72476d7-13f4-49c1-b8ad-54b424d3f220" targetNamespace="http://schemas.microsoft.com/office/2006/metadata/properties" ma:root="true" ma:fieldsID="9a875c36fd520a00607c3671a0b9cfc6" ns3:_="">
    <xsd:import namespace="d72476d7-13f4-49c1-b8ad-54b424d3f2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476d7-13f4-49c1-b8ad-54b424d3f2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2476d7-13f4-49c1-b8ad-54b424d3f220" xsi:nil="true"/>
  </documentManagement>
</p:properties>
</file>

<file path=customXml/itemProps1.xml><?xml version="1.0" encoding="utf-8"?>
<ds:datastoreItem xmlns:ds="http://schemas.openxmlformats.org/officeDocument/2006/customXml" ds:itemID="{450EBB40-0459-4A19-B948-5D8D3FFCAB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FFA1FB-DF04-4FE3-872A-E4B854468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2476d7-13f4-49c1-b8ad-54b424d3f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9F9583-3A0B-4DC3-9B1F-4E94A67EE6CA}">
  <ds:schemaRefs>
    <ds:schemaRef ds:uri="http://schemas.microsoft.com/office/2006/documentManagement/types"/>
    <ds:schemaRef ds:uri="http://purl.org/dc/elements/1.1/"/>
    <ds:schemaRef ds:uri="d72476d7-13f4-49c1-b8ad-54b424d3f220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Smorzate (4mm)</vt:lpstr>
      <vt:lpstr>Smorzate forzate (4mm)</vt:lpstr>
      <vt:lpstr>Smorzate (5mm)</vt:lpstr>
      <vt:lpstr>Smorzate forzate (5mm)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m.declich@campus.unimib.it</cp:lastModifiedBy>
  <cp:revision/>
  <dcterms:created xsi:type="dcterms:W3CDTF">2026-03-24T17:16:10Z</dcterms:created>
  <dcterms:modified xsi:type="dcterms:W3CDTF">2026-03-26T09:40:31Z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0x0101009346E5DF961F39408DE43B15EF6999B1</vt:lpwstr>
  </property>
</Properties>
</file>