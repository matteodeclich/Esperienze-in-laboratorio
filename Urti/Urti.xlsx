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Urti/"/>
    </mc:Choice>
  </mc:AlternateContent>
  <xr:revisionPtr revIDLastSave="46" documentId="11_2FEC3D3CD2DAA604E597749B5C2171355A12C4A4" xr6:coauthVersionLast="47" xr6:coauthVersionMax="47" xr10:uidLastSave="{EBE31323-D30B-4F17-A401-F3B07B87B18C}"/>
  <bookViews>
    <workbookView xWindow="-98" yWindow="-98" windowWidth="21795" windowHeight="13695" firstSheet="3" activeTab="3" xr2:uid="{00000000-000D-0000-FFFF-FFFF00000000}"/>
  </bookViews>
  <sheets>
    <sheet name="Misura masse" sheetId="1" r:id="rId1"/>
    <sheet name="Carrello" sheetId="2" r:id="rId2"/>
    <sheet name="Piano inclinato" sheetId="3" r:id="rId3"/>
    <sheet name="Urto magnete e molla" sheetId="4" r:id="rId4"/>
    <sheet name="Urti tra carrelli" sheetId="5" r:id="rId5"/>
    <sheet name="Attrito statico" sheetId="6" r:id="rId6"/>
    <sheet name="Attrito dinamico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4" l="1"/>
  <c r="B8" i="7"/>
  <c r="B7" i="7"/>
  <c r="N8" i="5"/>
  <c r="M8" i="5"/>
  <c r="L8" i="5"/>
  <c r="K8" i="5"/>
  <c r="N7" i="5"/>
  <c r="M7" i="5"/>
  <c r="L7" i="5"/>
  <c r="K7" i="5"/>
  <c r="N6" i="5"/>
  <c r="M6" i="5"/>
  <c r="L6" i="5"/>
  <c r="K6" i="5"/>
  <c r="N5" i="5"/>
  <c r="M5" i="5"/>
  <c r="L5" i="5"/>
  <c r="K5" i="5"/>
  <c r="N4" i="5"/>
  <c r="M4" i="5"/>
  <c r="L4" i="5"/>
  <c r="K4" i="5"/>
  <c r="N3" i="5"/>
  <c r="M3" i="5"/>
  <c r="L3" i="5"/>
  <c r="K3" i="5"/>
  <c r="K3" i="4"/>
  <c r="J3" i="4"/>
  <c r="I3" i="4"/>
  <c r="D3" i="4"/>
  <c r="K2" i="4"/>
  <c r="J2" i="4"/>
  <c r="D7" i="3"/>
  <c r="B7" i="3"/>
  <c r="D6" i="3"/>
  <c r="B6" i="3"/>
  <c r="D7" i="2"/>
  <c r="B7" i="2"/>
  <c r="D6" i="2"/>
  <c r="B6" i="2"/>
  <c r="F4" i="1"/>
  <c r="F3" i="1"/>
  <c r="F2" i="1"/>
  <c r="C3" i="6"/>
</calcChain>
</file>

<file path=xl/sharedStrings.xml><?xml version="1.0" encoding="utf-8"?>
<sst xmlns="http://schemas.openxmlformats.org/spreadsheetml/2006/main" count="66" uniqueCount="49">
  <si>
    <t>Carrello rosso (kg)</t>
  </si>
  <si>
    <t>Carrello blu  (kg)</t>
  </si>
  <si>
    <t>massa 1  (kg)</t>
  </si>
  <si>
    <t>massa 2  (kg)</t>
  </si>
  <si>
    <t>Massa totale  (kg)</t>
  </si>
  <si>
    <t>massa Libro 1  (kg)</t>
  </si>
  <si>
    <t>massa Libro 2  (kg)</t>
  </si>
  <si>
    <t>Errore sulla massa (kg)</t>
  </si>
  <si>
    <t xml:space="preserve">Massa </t>
  </si>
  <si>
    <t>Massa con magnete</t>
  </si>
  <si>
    <t>Massa con molla</t>
  </si>
  <si>
    <t>Interpolazione carrello</t>
  </si>
  <si>
    <t>Interpolazione carrello+masse</t>
  </si>
  <si>
    <t>m (kg)</t>
  </si>
  <si>
    <t>sm (kg)</t>
  </si>
  <si>
    <t>x_best</t>
  </si>
  <si>
    <t>sx_best</t>
  </si>
  <si>
    <t>Interpolazione piano inclinato</t>
  </si>
  <si>
    <t>Angolo</t>
  </si>
  <si>
    <t>incertezza</t>
  </si>
  <si>
    <t>m</t>
  </si>
  <si>
    <t>sm</t>
  </si>
  <si>
    <t>θ</t>
  </si>
  <si>
    <t>sθ</t>
  </si>
  <si>
    <t>Massa (kg)</t>
  </si>
  <si>
    <t>Area (N*s)</t>
  </si>
  <si>
    <t>Incertezza (N*s)</t>
  </si>
  <si>
    <t>Velocità iniziale (m/s)</t>
  </si>
  <si>
    <t>Velocità finale (m/s)</t>
  </si>
  <si>
    <t>Impulso (N*s)</t>
  </si>
  <si>
    <t>ΔE (J)</t>
  </si>
  <si>
    <t>Coeff. di restituzione</t>
  </si>
  <si>
    <t>Magnete</t>
  </si>
  <si>
    <t>Molla</t>
  </si>
  <si>
    <t>Carrello rosso</t>
  </si>
  <si>
    <t>Carrello blu</t>
  </si>
  <si>
    <t>sv (m/s)</t>
  </si>
  <si>
    <t>Quantità di moto iniziale (kg*m/s)</t>
  </si>
  <si>
    <t>Quantità di moto finale (kg*m/s)</t>
  </si>
  <si>
    <t>Energia inizale (J)</t>
  </si>
  <si>
    <t>Energia finale (J)</t>
  </si>
  <si>
    <t>Velcro</t>
  </si>
  <si>
    <t>1 libro</t>
  </si>
  <si>
    <t>2 libri</t>
  </si>
  <si>
    <t>F (N)</t>
  </si>
  <si>
    <t>Coefficiente angolare</t>
  </si>
  <si>
    <t>Media</t>
  </si>
  <si>
    <t>Errore della media</t>
  </si>
  <si>
    <t>Incertezza (semidispersione)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</si>
</sst>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00"/>
    <numFmt numFmtId="166" formatCode="0.0"/>
  </numFmts>
  <fonts count="1" x14ac:knownFonts="1">
    <font>
      <sz val="11"/>
      <color theme="1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2"/>
      </patternFill>
    </fill>
    <fill>
      <patternFill patternType="solid">
        <fgColor theme="3" tint="0.249977111117893"/>
        <bgColor indexed="65"/>
      </patternFill>
    </fill>
    <fill>
      <patternFill patternType="solid">
        <fgColor rgb="FF4285F4"/>
        <bgColor rgb="FF4285F4"/>
      </patternFill>
    </fill>
    <fill>
      <patternFill patternType="solid">
        <fgColor rgb="FFFFC000"/>
        <bgColor rgb="FFFFC000"/>
      </patternFill>
    </fill>
    <fill>
      <patternFill patternType="solid">
        <fgColor rgb="FFC00000"/>
        <bgColor rgb="FFC00000"/>
      </patternFill>
    </fill>
    <fill>
      <patternFill patternType="solid">
        <fgColor rgb="FFFFC000"/>
      </patternFill>
    </fill>
    <fill>
      <patternFill patternType="solid">
        <fgColor rgb="FF92D050"/>
      </patternFill>
    </fill>
    <fill>
      <patternFill patternType="solid">
        <fgColor rgb="FF92D050"/>
        <bgColor rgb="FF92D050"/>
      </patternFill>
    </fill>
    <fill>
      <patternFill patternType="solid">
        <fgColor indexed="5"/>
      </patternFill>
    </fill>
  </fills>
  <borders count="38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auto="1"/>
      </right>
      <top style="medium">
        <color theme="1"/>
      </top>
      <bottom style="medium">
        <color theme="1"/>
      </bottom>
      <diagonal/>
    </border>
    <border>
      <left style="medium">
        <color auto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theme="1"/>
      </right>
      <top style="medium">
        <color theme="1"/>
      </top>
      <bottom/>
      <diagonal/>
    </border>
    <border>
      <left style="thin">
        <color theme="1"/>
      </left>
      <right/>
      <top style="medium">
        <color theme="1"/>
      </top>
      <bottom/>
      <diagonal/>
    </border>
    <border>
      <left style="medium">
        <color auto="1"/>
      </left>
      <right/>
      <top/>
      <bottom/>
      <diagonal/>
    </border>
    <border>
      <left/>
      <right style="thin">
        <color theme="1"/>
      </right>
      <top/>
      <bottom style="medium">
        <color theme="1"/>
      </bottom>
      <diagonal/>
    </border>
    <border>
      <left style="thin">
        <color theme="1"/>
      </left>
      <right/>
      <top/>
      <bottom style="medium">
        <color theme="1"/>
      </bottom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5" borderId="6" xfId="0" applyFill="1" applyBorder="1"/>
    <xf numFmtId="0" fontId="0" fillId="0" borderId="7" xfId="0" applyBorder="1"/>
    <xf numFmtId="164" fontId="0" fillId="0" borderId="8" xfId="0" applyNumberFormat="1" applyBorder="1"/>
    <xf numFmtId="164" fontId="0" fillId="0" borderId="9" xfId="0" applyNumberFormat="1" applyBorder="1"/>
    <xf numFmtId="164" fontId="0" fillId="0" borderId="10" xfId="0" applyNumberFormat="1" applyBorder="1"/>
    <xf numFmtId="0" fontId="0" fillId="5" borderId="11" xfId="0" applyFill="1" applyBorder="1"/>
    <xf numFmtId="164" fontId="0" fillId="0" borderId="12" xfId="0" applyNumberFormat="1" applyBorder="1"/>
    <xf numFmtId="164" fontId="0" fillId="0" borderId="0" xfId="0" applyNumberFormat="1"/>
    <xf numFmtId="0" fontId="0" fillId="0" borderId="13" xfId="0" applyBorder="1"/>
    <xf numFmtId="0" fontId="0" fillId="5" borderId="14" xfId="0" applyFill="1" applyBorder="1"/>
    <xf numFmtId="0" fontId="0" fillId="0" borderId="15" xfId="0" applyBorder="1"/>
    <xf numFmtId="164" fontId="0" fillId="0" borderId="16" xfId="0" applyNumberFormat="1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21" xfId="0" applyBorder="1"/>
    <xf numFmtId="0" fontId="0" fillId="4" borderId="15" xfId="0" applyFill="1" applyBorder="1"/>
    <xf numFmtId="0" fontId="0" fillId="4" borderId="22" xfId="0" applyFill="1" applyBorder="1"/>
    <xf numFmtId="0" fontId="0" fillId="4" borderId="23" xfId="0" applyFill="1" applyBorder="1"/>
    <xf numFmtId="0" fontId="0" fillId="4" borderId="17" xfId="0" applyFill="1" applyBorder="1"/>
    <xf numFmtId="0" fontId="0" fillId="0" borderId="6" xfId="0" applyBorder="1"/>
    <xf numFmtId="165" fontId="0" fillId="0" borderId="19" xfId="0" applyNumberFormat="1" applyBorder="1"/>
    <xf numFmtId="0" fontId="0" fillId="0" borderId="20" xfId="0" applyBorder="1"/>
    <xf numFmtId="0" fontId="0" fillId="0" borderId="9" xfId="0" applyBorder="1"/>
    <xf numFmtId="0" fontId="0" fillId="0" borderId="11" xfId="0" applyBorder="1"/>
    <xf numFmtId="0" fontId="0" fillId="0" borderId="12" xfId="0" applyBorder="1"/>
    <xf numFmtId="165" fontId="0" fillId="0" borderId="24" xfId="0" applyNumberFormat="1" applyBorder="1"/>
    <xf numFmtId="0" fontId="0" fillId="0" borderId="25" xfId="0" applyBorder="1"/>
    <xf numFmtId="0" fontId="0" fillId="0" borderId="24" xfId="0" applyBorder="1"/>
    <xf numFmtId="0" fontId="0" fillId="7" borderId="26" xfId="0" applyFill="1" applyBorder="1"/>
    <xf numFmtId="0" fontId="0" fillId="7" borderId="14" xfId="0" applyFill="1" applyBorder="1"/>
    <xf numFmtId="0" fontId="0" fillId="6" borderId="18" xfId="0" applyFill="1" applyBorder="1"/>
    <xf numFmtId="0" fontId="0" fillId="6" borderId="30" xfId="0" applyFill="1" applyBorder="1"/>
    <xf numFmtId="0" fontId="0" fillId="4" borderId="18" xfId="0" applyFill="1" applyBorder="1"/>
    <xf numFmtId="0" fontId="0" fillId="4" borderId="1" xfId="0" applyFill="1" applyBorder="1"/>
    <xf numFmtId="0" fontId="0" fillId="4" borderId="30" xfId="0" applyFill="1" applyBorder="1"/>
    <xf numFmtId="166" fontId="0" fillId="0" borderId="31" xfId="0" applyNumberFormat="1" applyBorder="1"/>
    <xf numFmtId="166" fontId="0" fillId="0" borderId="10" xfId="0" applyNumberFormat="1" applyBorder="1"/>
    <xf numFmtId="0" fontId="0" fillId="0" borderId="32" xfId="0" applyBorder="1"/>
    <xf numFmtId="165" fontId="0" fillId="0" borderId="0" xfId="0" applyNumberFormat="1"/>
    <xf numFmtId="0" fontId="0" fillId="8" borderId="0" xfId="0" applyFill="1"/>
    <xf numFmtId="164" fontId="0" fillId="0" borderId="18" xfId="0" applyNumberFormat="1" applyBorder="1"/>
    <xf numFmtId="164" fontId="0" fillId="0" borderId="1" xfId="0" applyNumberFormat="1" applyBorder="1"/>
    <xf numFmtId="0" fontId="0" fillId="0" borderId="30" xfId="0" applyBorder="1"/>
    <xf numFmtId="164" fontId="0" fillId="0" borderId="33" xfId="0" applyNumberFormat="1" applyBorder="1"/>
    <xf numFmtId="0" fontId="0" fillId="0" borderId="31" xfId="0" applyBorder="1"/>
    <xf numFmtId="164" fontId="0" fillId="0" borderId="31" xfId="0" applyNumberFormat="1" applyBorder="1"/>
    <xf numFmtId="0" fontId="0" fillId="0" borderId="10" xfId="0" applyBorder="1"/>
    <xf numFmtId="0" fontId="0" fillId="8" borderId="21" xfId="0" applyFill="1" applyBorder="1"/>
    <xf numFmtId="0" fontId="0" fillId="9" borderId="0" xfId="0" applyFill="1"/>
    <xf numFmtId="0" fontId="0" fillId="8" borderId="32" xfId="0" applyFill="1" applyBorder="1"/>
    <xf numFmtId="0" fontId="0" fillId="8" borderId="18" xfId="0" applyFill="1" applyBorder="1"/>
    <xf numFmtId="0" fontId="0" fillId="8" borderId="30" xfId="0" applyFill="1" applyBorder="1"/>
    <xf numFmtId="164" fontId="0" fillId="0" borderId="7" xfId="0" applyNumberFormat="1" applyBorder="1"/>
    <xf numFmtId="0" fontId="0" fillId="0" borderId="8" xfId="0" applyBorder="1"/>
    <xf numFmtId="165" fontId="0" fillId="0" borderId="17" xfId="0" applyNumberFormat="1" applyBorder="1"/>
    <xf numFmtId="0" fontId="0" fillId="0" borderId="33" xfId="0" applyBorder="1"/>
    <xf numFmtId="0" fontId="0" fillId="0" borderId="0" xfId="0" applyAlignment="1">
      <alignment vertical="center"/>
    </xf>
    <xf numFmtId="0" fontId="0" fillId="10" borderId="35" xfId="0" applyFill="1" applyBorder="1"/>
    <xf numFmtId="0" fontId="0" fillId="0" borderId="36" xfId="0" applyBorder="1"/>
    <xf numFmtId="0" fontId="0" fillId="8" borderId="35" xfId="0" applyFill="1" applyBorder="1"/>
    <xf numFmtId="0" fontId="0" fillId="0" borderId="35" xfId="0" applyBorder="1"/>
    <xf numFmtId="0" fontId="0" fillId="8" borderId="37" xfId="0" applyFill="1" applyBorder="1"/>
    <xf numFmtId="0" fontId="0" fillId="0" borderId="37" xfId="0" applyBorder="1"/>
    <xf numFmtId="0" fontId="0" fillId="10" borderId="18" xfId="0" applyFill="1" applyBorder="1" applyAlignment="1">
      <alignment horizontal="center"/>
    </xf>
    <xf numFmtId="0" fontId="0" fillId="10" borderId="30" xfId="0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0" fillId="6" borderId="20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5" fontId="0" fillId="0" borderId="27" xfId="0" applyNumberFormat="1" applyBorder="1" applyAlignment="1">
      <alignment horizontal="center"/>
    </xf>
    <xf numFmtId="165" fontId="0" fillId="0" borderId="28" xfId="0" applyNumberFormat="1" applyBorder="1" applyAlignment="1">
      <alignment horizontal="center"/>
    </xf>
    <xf numFmtId="165" fontId="0" fillId="0" borderId="29" xfId="0" applyNumberFormat="1" applyBorder="1" applyAlignment="1">
      <alignment horizontal="center"/>
    </xf>
    <xf numFmtId="165" fontId="0" fillId="0" borderId="15" xfId="0" applyNumberFormat="1" applyBorder="1" applyAlignment="1">
      <alignment horizontal="center"/>
    </xf>
    <xf numFmtId="165" fontId="0" fillId="0" borderId="22" xfId="0" applyNumberFormat="1" applyBorder="1" applyAlignment="1">
      <alignment horizontal="center"/>
    </xf>
    <xf numFmtId="165" fontId="0" fillId="0" borderId="23" xfId="0" applyNumberFormat="1" applyBorder="1" applyAlignment="1">
      <alignment horizontal="center"/>
    </xf>
    <xf numFmtId="165" fontId="0" fillId="0" borderId="17" xfId="0" applyNumberFormat="1" applyBorder="1" applyAlignment="1">
      <alignment horizontal="center"/>
    </xf>
    <xf numFmtId="0" fontId="0" fillId="6" borderId="18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30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8" borderId="18" xfId="0" applyFill="1" applyBorder="1" applyAlignment="1">
      <alignment horizontal="center" vertical="center"/>
    </xf>
    <xf numFmtId="0" fontId="0" fillId="8" borderId="21" xfId="0" applyFill="1" applyBorder="1" applyAlignment="1">
      <alignment horizontal="center" vertical="center"/>
    </xf>
    <xf numFmtId="0" fontId="0" fillId="8" borderId="33" xfId="0" applyFill="1" applyBorder="1" applyAlignment="1">
      <alignment horizontal="center" vertical="center"/>
    </xf>
    <xf numFmtId="0" fontId="0" fillId="0" borderId="0" xfId="0" applyFill="1" applyBorder="1"/>
    <xf numFmtId="0" fontId="0" fillId="0" borderId="31" xfId="0" applyFill="1" applyBorder="1"/>
    <xf numFmtId="0" fontId="0" fillId="8" borderId="31" xfId="0" applyFill="1" applyBorder="1" applyAlignment="1">
      <alignment horizontal="center" wrapText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Q16"/>
  <sheetViews>
    <sheetView workbookViewId="0">
      <selection activeCell="B3" sqref="B3"/>
    </sheetView>
  </sheetViews>
  <sheetFormatPr defaultRowHeight="14.25" x14ac:dyDescent="0.45"/>
  <cols>
    <col min="1" max="1" width="16.86328125" bestFit="1" customWidth="1"/>
    <col min="2" max="2" width="15.46484375" bestFit="1" customWidth="1"/>
    <col min="3" max="3" width="13.9296875" bestFit="1" customWidth="1"/>
    <col min="4" max="5" width="11.53125" bestFit="1" customWidth="1"/>
    <col min="6" max="6" width="14.9296875" bestFit="1" customWidth="1"/>
    <col min="7" max="8" width="16.06640625" bestFit="1" customWidth="1"/>
    <col min="9" max="9" width="19.265625" bestFit="1" customWidth="1"/>
    <col min="10" max="10" width="11.46484375" bestFit="1" customWidth="1"/>
    <col min="11" max="12" width="18.3984375" bestFit="1" customWidth="1"/>
    <col min="13" max="13" width="13.1328125" bestFit="1" customWidth="1"/>
    <col min="14" max="14" width="9.265625" bestFit="1" customWidth="1"/>
  </cols>
  <sheetData>
    <row r="1" spans="1:17" x14ac:dyDescent="0.45">
      <c r="A1" s="1"/>
      <c r="B1" s="2" t="s">
        <v>0</v>
      </c>
      <c r="C1" s="3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5" t="s">
        <v>6</v>
      </c>
      <c r="I1" s="6" t="s">
        <v>7</v>
      </c>
    </row>
    <row r="2" spans="1:17" x14ac:dyDescent="0.45">
      <c r="A2" s="7" t="s">
        <v>8</v>
      </c>
      <c r="B2" s="8"/>
      <c r="C2" s="9">
        <v>0.25452000000000002</v>
      </c>
      <c r="D2" s="9">
        <v>0.25314999999999999</v>
      </c>
      <c r="E2" s="9">
        <v>0.25374999999999998</v>
      </c>
      <c r="F2" s="9">
        <f>SUM(C2:E2)</f>
        <v>0.76141999999999999</v>
      </c>
      <c r="G2" s="9">
        <v>0.29006999999999999</v>
      </c>
      <c r="H2" s="10">
        <v>0.18593999999999999</v>
      </c>
      <c r="I2" s="11">
        <v>5.0000000000000001E-4</v>
      </c>
    </row>
    <row r="3" spans="1:17" x14ac:dyDescent="0.45">
      <c r="A3" s="12" t="s">
        <v>9</v>
      </c>
      <c r="B3" s="13">
        <v>0.25634000000000001</v>
      </c>
      <c r="C3" s="14">
        <v>0.27538000000000001</v>
      </c>
      <c r="F3" s="14">
        <f>C3+D2+E2</f>
        <v>0.78227999999999986</v>
      </c>
      <c r="H3" s="15"/>
    </row>
    <row r="4" spans="1:17" x14ac:dyDescent="0.45">
      <c r="A4" s="16" t="s">
        <v>10</v>
      </c>
      <c r="B4" s="17"/>
      <c r="C4" s="18">
        <v>0.25686999999999999</v>
      </c>
      <c r="D4" s="19"/>
      <c r="E4" s="19"/>
      <c r="F4" s="18">
        <f>B3+D2+E2</f>
        <v>0.76323999999999992</v>
      </c>
      <c r="G4" s="19"/>
      <c r="H4" s="20"/>
    </row>
    <row r="15" spans="1:17" x14ac:dyDescent="0.45">
      <c r="O15" s="14"/>
    </row>
    <row r="16" spans="1:17" x14ac:dyDescent="0.45">
      <c r="O16" s="14"/>
      <c r="P16" s="14"/>
      <c r="Q16" s="14"/>
    </row>
  </sheetData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2"/>
  <dimension ref="A1:E7"/>
  <sheetViews>
    <sheetView workbookViewId="0">
      <selection activeCell="C23" sqref="C23"/>
    </sheetView>
  </sheetViews>
  <sheetFormatPr defaultRowHeight="14.25" x14ac:dyDescent="0.45"/>
  <cols>
    <col min="2" max="2" width="11.53125" customWidth="1"/>
    <col min="3" max="3" width="12" customWidth="1"/>
    <col min="4" max="4" width="12.73046875" customWidth="1"/>
    <col min="5" max="5" width="13.53125" customWidth="1"/>
  </cols>
  <sheetData>
    <row r="1" spans="1:5" x14ac:dyDescent="0.45">
      <c r="A1" s="21"/>
      <c r="B1" s="74" t="s">
        <v>11</v>
      </c>
      <c r="C1" s="75"/>
      <c r="D1" s="76" t="s">
        <v>12</v>
      </c>
      <c r="E1" s="77"/>
    </row>
    <row r="2" spans="1:5" x14ac:dyDescent="0.45">
      <c r="A2" s="22"/>
      <c r="B2" s="23" t="s">
        <v>13</v>
      </c>
      <c r="C2" s="24" t="s">
        <v>14</v>
      </c>
      <c r="D2" s="25" t="s">
        <v>13</v>
      </c>
      <c r="E2" s="26" t="s">
        <v>14</v>
      </c>
    </row>
    <row r="3" spans="1:5" x14ac:dyDescent="0.45">
      <c r="A3" s="27">
        <v>1</v>
      </c>
      <c r="B3" s="8">
        <v>0.249</v>
      </c>
      <c r="C3" s="28">
        <v>0.04</v>
      </c>
      <c r="D3" s="29">
        <v>0.76900000000000002</v>
      </c>
      <c r="E3" s="30">
        <v>4.2999999999999997E-2</v>
      </c>
    </row>
    <row r="4" spans="1:5" x14ac:dyDescent="0.45">
      <c r="A4" s="31">
        <v>2</v>
      </c>
      <c r="B4" s="32">
        <v>0.253</v>
      </c>
      <c r="C4" s="33">
        <v>4.2999999999999997E-2</v>
      </c>
      <c r="D4" s="34">
        <v>0.755</v>
      </c>
      <c r="E4" s="15">
        <v>3.7999999999999999E-2</v>
      </c>
    </row>
    <row r="5" spans="1:5" x14ac:dyDescent="0.45">
      <c r="A5" s="31">
        <v>3</v>
      </c>
      <c r="B5" s="32">
        <v>0.247</v>
      </c>
      <c r="C5" s="35">
        <v>4.2000000000000003E-2</v>
      </c>
      <c r="D5" s="34">
        <v>0.749</v>
      </c>
      <c r="E5" s="15">
        <v>3.7999999999999999E-2</v>
      </c>
    </row>
    <row r="6" spans="1:5" x14ac:dyDescent="0.45">
      <c r="A6" s="36" t="s">
        <v>15</v>
      </c>
      <c r="B6" s="78">
        <f>((B3/(C3)^2)+(B4/(C4)^2)+(B5/(C5)^2))/((1/C3^2)+(1/C4^2)+(1/C5^2))</f>
        <v>0.24959417617111146</v>
      </c>
      <c r="C6" s="79"/>
      <c r="D6" s="80">
        <f>((D3/(E3)^2)+(D4/(E4)^2)+(D5/(E5)^2))/((1/E3^2)+(1/E4^2)+(1/E5^2))</f>
        <v>0.75677401789187093</v>
      </c>
      <c r="E6" s="81"/>
    </row>
    <row r="7" spans="1:5" x14ac:dyDescent="0.45">
      <c r="A7" s="37" t="s">
        <v>16</v>
      </c>
      <c r="B7" s="82">
        <f>SQRT(1/((1/C3^2)+(1/C4^2)+(1/C5^2)))</f>
        <v>2.4023430034058289E-2</v>
      </c>
      <c r="C7" s="83"/>
      <c r="D7" s="84">
        <f>SQRT(1/((1/E3^2)+(1/E4^2)+(1/E5^2)))</f>
        <v>2.2786940380104245E-2</v>
      </c>
      <c r="E7" s="85"/>
    </row>
  </sheetData>
  <mergeCells count="6">
    <mergeCell ref="B1:C1"/>
    <mergeCell ref="D1:E1"/>
    <mergeCell ref="B6:C6"/>
    <mergeCell ref="D6:E6"/>
    <mergeCell ref="B7:C7"/>
    <mergeCell ref="D7:E7"/>
  </mergeCell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glio3"/>
  <dimension ref="A1:G7"/>
  <sheetViews>
    <sheetView workbookViewId="0">
      <selection activeCell="G13" sqref="G13"/>
    </sheetView>
  </sheetViews>
  <sheetFormatPr defaultRowHeight="14.25" x14ac:dyDescent="0.45"/>
  <sheetData>
    <row r="1" spans="1:7" x14ac:dyDescent="0.45">
      <c r="A1" s="21"/>
      <c r="B1" s="86" t="s">
        <v>17</v>
      </c>
      <c r="C1" s="87"/>
      <c r="D1" s="87"/>
      <c r="E1" s="88"/>
      <c r="F1" s="38" t="s">
        <v>18</v>
      </c>
      <c r="G1" s="39" t="s">
        <v>19</v>
      </c>
    </row>
    <row r="2" spans="1:7" x14ac:dyDescent="0.45">
      <c r="A2" s="22"/>
      <c r="B2" s="40" t="s">
        <v>20</v>
      </c>
      <c r="C2" s="41" t="s">
        <v>21</v>
      </c>
      <c r="D2" s="41" t="s">
        <v>22</v>
      </c>
      <c r="E2" s="42" t="s">
        <v>23</v>
      </c>
      <c r="F2" s="43">
        <v>10</v>
      </c>
      <c r="G2" s="44">
        <v>1</v>
      </c>
    </row>
    <row r="3" spans="1:7" x14ac:dyDescent="0.45">
      <c r="A3" s="27">
        <v>1</v>
      </c>
      <c r="B3">
        <v>0.26400000000000001</v>
      </c>
      <c r="C3">
        <v>2E-3</v>
      </c>
      <c r="D3">
        <v>0.17599999999999999</v>
      </c>
      <c r="E3" s="45">
        <v>2E-3</v>
      </c>
    </row>
    <row r="4" spans="1:7" x14ac:dyDescent="0.45">
      <c r="A4" s="31">
        <v>2</v>
      </c>
      <c r="B4">
        <v>0.25700000000000001</v>
      </c>
      <c r="C4">
        <v>2E-3</v>
      </c>
      <c r="D4" s="46">
        <v>0.16</v>
      </c>
      <c r="E4" s="45">
        <v>3.0000000000000001E-3</v>
      </c>
    </row>
    <row r="5" spans="1:7" x14ac:dyDescent="0.45">
      <c r="A5" s="31">
        <v>3</v>
      </c>
      <c r="B5">
        <v>0.26</v>
      </c>
      <c r="C5">
        <v>3.0000000000000001E-3</v>
      </c>
      <c r="D5">
        <v>0.17499999999999999</v>
      </c>
      <c r="E5" s="45">
        <v>2.3E-3</v>
      </c>
    </row>
    <row r="6" spans="1:7" x14ac:dyDescent="0.45">
      <c r="A6" s="36" t="s">
        <v>15</v>
      </c>
      <c r="B6" s="78">
        <f>((B3/(C3)^2)+(B4/(C4)^2)+(B5/(C5)^2))/((1/C3^2)+(1/C4^2)+(1/C5^2))</f>
        <v>0.26040909090909087</v>
      </c>
      <c r="C6" s="79"/>
      <c r="D6" s="80">
        <f>((D3/(E3)^2)+(D4/(E4)^2)+(D5/(E5)^2))/((1/E3^2)+(1/E4^2)+(1/E5^2))</f>
        <v>0.17242493080080176</v>
      </c>
      <c r="E6" s="81"/>
    </row>
    <row r="7" spans="1:7" x14ac:dyDescent="0.45">
      <c r="A7" s="36" t="s">
        <v>16</v>
      </c>
      <c r="B7" s="78">
        <f>SQRT(1/((1/C3^2)+(1/C4^2)+(1/C5^2)))</f>
        <v>1.2792042981336627E-3</v>
      </c>
      <c r="C7" s="79"/>
      <c r="D7" s="80">
        <f>SQRT(1/((1/E3^2)+(1/E4^2)+(1/E5^2)))</f>
        <v>1.3482195315735518E-3</v>
      </c>
      <c r="E7" s="81"/>
    </row>
  </sheetData>
  <mergeCells count="5">
    <mergeCell ref="B1:E1"/>
    <mergeCell ref="B6:C6"/>
    <mergeCell ref="D6:E6"/>
    <mergeCell ref="B7:C7"/>
    <mergeCell ref="D7:E7"/>
  </mergeCells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oglio4"/>
  <dimension ref="A1:K3"/>
  <sheetViews>
    <sheetView tabSelected="1" topLeftCell="D1" workbookViewId="0">
      <selection activeCell="I13" sqref="I13"/>
    </sheetView>
  </sheetViews>
  <sheetFormatPr defaultRowHeight="14.25" x14ac:dyDescent="0.45"/>
  <cols>
    <col min="1" max="1" width="7.3984375" bestFit="1" customWidth="1"/>
    <col min="2" max="2" width="8.796875" bestFit="1" customWidth="1"/>
    <col min="3" max="3" width="13.3984375" bestFit="1" customWidth="1"/>
    <col min="4" max="5" width="17.59765625" bestFit="1" customWidth="1"/>
    <col min="6" max="6" width="15.06640625" customWidth="1"/>
    <col min="7" max="7" width="16.33203125" bestFit="1" customWidth="1"/>
    <col min="8" max="8" width="16" customWidth="1"/>
    <col min="9" max="9" width="17" bestFit="1" customWidth="1"/>
    <col min="11" max="11" width="17" bestFit="1" customWidth="1"/>
  </cols>
  <sheetData>
    <row r="1" spans="1:11" ht="28.9" thickBot="1" x14ac:dyDescent="0.5">
      <c r="B1" s="47" t="s">
        <v>24</v>
      </c>
      <c r="C1" s="47" t="s">
        <v>25</v>
      </c>
      <c r="D1" s="47" t="s">
        <v>26</v>
      </c>
      <c r="E1" s="47" t="s">
        <v>27</v>
      </c>
      <c r="F1" s="97" t="s">
        <v>48</v>
      </c>
      <c r="G1" s="47" t="s">
        <v>28</v>
      </c>
      <c r="H1" s="97" t="s">
        <v>48</v>
      </c>
      <c r="I1" s="47" t="s">
        <v>29</v>
      </c>
      <c r="J1" s="47" t="s">
        <v>30</v>
      </c>
      <c r="K1" s="47" t="s">
        <v>31</v>
      </c>
    </row>
    <row r="2" spans="1:11" x14ac:dyDescent="0.45">
      <c r="A2" s="47" t="s">
        <v>32</v>
      </c>
      <c r="B2" s="48">
        <v>0.25634000000000001</v>
      </c>
      <c r="C2" s="1">
        <v>-0.128</v>
      </c>
      <c r="D2" s="1">
        <v>3.0000000000000001E-3</v>
      </c>
      <c r="E2" s="1">
        <v>0.52700000000000002</v>
      </c>
      <c r="F2" s="95">
        <v>8.9999999999999993E-3</v>
      </c>
      <c r="G2" s="1">
        <v>-1.4999999999999999E-2</v>
      </c>
      <c r="H2" s="95">
        <v>4.0000000000000001E-3</v>
      </c>
      <c r="I2" s="49">
        <f>B2*(G2-E2)</f>
        <v>-0.13893628000000002</v>
      </c>
      <c r="J2" s="1">
        <f>0.5*B2*(G2-E2)^2</f>
        <v>3.7651731880000004E-2</v>
      </c>
      <c r="K2" s="50">
        <f>-(B2*G2)/(B2*E2)</f>
        <v>2.8462998102466792E-2</v>
      </c>
    </row>
    <row r="3" spans="1:11" ht="14.65" thickBot="1" x14ac:dyDescent="0.5">
      <c r="A3" s="47" t="s">
        <v>33</v>
      </c>
      <c r="B3" s="51">
        <v>0.25686999999999999</v>
      </c>
      <c r="C3" s="52">
        <v>-0.28999999999999998</v>
      </c>
      <c r="D3" s="52">
        <f>0.07/SQRT(3)</f>
        <v>4.0414518843273808E-2</v>
      </c>
      <c r="E3" s="52">
        <v>0.64100000000000001</v>
      </c>
      <c r="F3" s="96">
        <v>6.0000000000000001E-3</v>
      </c>
      <c r="G3" s="52">
        <v>-0.627</v>
      </c>
      <c r="H3" s="96">
        <v>6.0000000000000001E-3</v>
      </c>
      <c r="I3" s="53">
        <f>0.25687*(G3-E3)</f>
        <v>-0.32571116</v>
      </c>
      <c r="J3" s="52">
        <f>0.5*B3*(G3-E3)^2</f>
        <v>0.20650087544000001</v>
      </c>
      <c r="K3" s="54">
        <f>-(B3*G3)/(B3*E3)</f>
        <v>0.97815912636505453</v>
      </c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9"/>
  <sheetViews>
    <sheetView workbookViewId="0">
      <selection activeCell="H10" sqref="H10"/>
    </sheetView>
  </sheetViews>
  <sheetFormatPr defaultRowHeight="14.25" x14ac:dyDescent="0.45"/>
  <cols>
    <col min="2" max="2" width="14" customWidth="1"/>
    <col min="3" max="3" width="17.796875" bestFit="1" customWidth="1"/>
    <col min="4" max="4" width="11" customWidth="1"/>
    <col min="5" max="5" width="16.53125" bestFit="1" customWidth="1"/>
    <col min="6" max="6" width="10" customWidth="1"/>
    <col min="7" max="8" width="17.796875" bestFit="1" customWidth="1"/>
    <col min="9" max="9" width="16.53125" bestFit="1" customWidth="1"/>
    <col min="10" max="10" width="11.86328125" customWidth="1"/>
    <col min="11" max="11" width="13.265625" bestFit="1" customWidth="1"/>
    <col min="13" max="13" width="9.59765625" bestFit="1"/>
  </cols>
  <sheetData>
    <row r="1" spans="1:14" x14ac:dyDescent="0.45">
      <c r="B1" s="89" t="s">
        <v>34</v>
      </c>
      <c r="C1" s="90"/>
      <c r="D1" s="90"/>
      <c r="E1" s="90"/>
      <c r="F1" s="90"/>
      <c r="G1" s="91" t="s">
        <v>35</v>
      </c>
      <c r="H1" s="91"/>
      <c r="I1" s="91"/>
      <c r="J1" s="91"/>
    </row>
    <row r="2" spans="1:14" x14ac:dyDescent="0.45">
      <c r="B2" s="55" t="s">
        <v>24</v>
      </c>
      <c r="C2" s="47" t="s">
        <v>27</v>
      </c>
      <c r="D2" s="56" t="s">
        <v>36</v>
      </c>
      <c r="E2" s="57" t="s">
        <v>28</v>
      </c>
      <c r="F2" s="56" t="s">
        <v>36</v>
      </c>
      <c r="G2" s="47" t="s">
        <v>24</v>
      </c>
      <c r="H2" s="47" t="s">
        <v>27</v>
      </c>
      <c r="I2" s="47" t="s">
        <v>28</v>
      </c>
      <c r="J2" s="56" t="s">
        <v>36</v>
      </c>
      <c r="K2" s="58" t="s">
        <v>37</v>
      </c>
      <c r="L2" s="59" t="s">
        <v>38</v>
      </c>
      <c r="M2" s="58" t="s">
        <v>39</v>
      </c>
      <c r="N2" s="59" t="s">
        <v>40</v>
      </c>
    </row>
    <row r="3" spans="1:14" x14ac:dyDescent="0.45">
      <c r="A3" s="92" t="s">
        <v>32</v>
      </c>
      <c r="B3" s="60">
        <v>0.25634000000000001</v>
      </c>
      <c r="C3" s="61">
        <v>0.51800000000000002</v>
      </c>
      <c r="D3" s="61">
        <v>2.8000000000000001E-2</v>
      </c>
      <c r="E3" s="61">
        <v>-1.9E-2</v>
      </c>
      <c r="F3" s="30">
        <v>8.0000000000000002E-3</v>
      </c>
      <c r="G3" s="9">
        <v>0.27538000000000001</v>
      </c>
      <c r="H3" s="61">
        <v>0</v>
      </c>
      <c r="I3" s="61">
        <v>0.49099999999999999</v>
      </c>
      <c r="J3" s="30">
        <v>0.01</v>
      </c>
      <c r="K3" s="1">
        <f t="shared" ref="K3:K8" si="0">B3*C3</f>
        <v>0.13278412000000001</v>
      </c>
      <c r="L3" s="50">
        <f t="shared" ref="L3:L8" si="1">B3*E3+G3*I3</f>
        <v>0.13034112</v>
      </c>
      <c r="M3" s="21">
        <f t="shared" ref="M3:M8" si="2">0.5*B3*C3^2</f>
        <v>3.439108708E-2</v>
      </c>
      <c r="N3" s="50">
        <f t="shared" ref="N3:N8" si="3">0.5*(B3*E3^2+G3*I3^2)</f>
        <v>3.3240712259999999E-2</v>
      </c>
    </row>
    <row r="4" spans="1:14" x14ac:dyDescent="0.45">
      <c r="A4" s="93"/>
      <c r="B4" s="13">
        <v>0.25634000000000001</v>
      </c>
      <c r="C4" s="46">
        <v>0.50900000000000001</v>
      </c>
      <c r="D4">
        <v>1.6E-2</v>
      </c>
      <c r="E4">
        <v>-0.21299999999999999</v>
      </c>
      <c r="F4" s="15">
        <v>1.2999999999999999E-2</v>
      </c>
      <c r="G4" s="14">
        <v>0.78227999999999998</v>
      </c>
      <c r="H4">
        <v>0</v>
      </c>
      <c r="I4" s="46">
        <v>0.24</v>
      </c>
      <c r="J4" s="15">
        <v>4.0000000000000001E-3</v>
      </c>
      <c r="K4">
        <f t="shared" si="0"/>
        <v>0.13047706000000001</v>
      </c>
      <c r="L4" s="45">
        <f t="shared" si="1"/>
        <v>0.13314677999999996</v>
      </c>
      <c r="M4" s="22">
        <f t="shared" si="2"/>
        <v>3.3206411769999999E-2</v>
      </c>
      <c r="N4" s="45">
        <f t="shared" si="3"/>
        <v>2.8344608729999998E-2</v>
      </c>
    </row>
    <row r="5" spans="1:14" x14ac:dyDescent="0.45">
      <c r="A5" s="94"/>
      <c r="B5" s="17">
        <v>0.76324000000000003</v>
      </c>
      <c r="C5" s="19">
        <v>0.34599999999999997</v>
      </c>
      <c r="D5" s="19">
        <v>1.2999999999999999E-2</v>
      </c>
      <c r="E5" s="19">
        <v>0.16300000000000001</v>
      </c>
      <c r="F5" s="62">
        <v>0.01</v>
      </c>
      <c r="G5" s="18">
        <v>0.27538000000000001</v>
      </c>
      <c r="H5" s="19">
        <v>0</v>
      </c>
      <c r="I5">
        <v>0.48499999999999999</v>
      </c>
      <c r="J5" s="20">
        <v>1.4E-2</v>
      </c>
      <c r="K5" s="52">
        <f t="shared" si="0"/>
        <v>0.26408103999999999</v>
      </c>
      <c r="L5" s="54">
        <f t="shared" si="1"/>
        <v>0.25796742</v>
      </c>
      <c r="M5" s="63">
        <f t="shared" si="2"/>
        <v>4.5686019919999994E-2</v>
      </c>
      <c r="N5" s="54">
        <f t="shared" si="3"/>
        <v>4.252739203E-2</v>
      </c>
    </row>
    <row r="6" spans="1:14" x14ac:dyDescent="0.45">
      <c r="A6" s="92" t="s">
        <v>41</v>
      </c>
      <c r="B6" s="60">
        <v>0.25634000000000001</v>
      </c>
      <c r="C6" s="61">
        <v>0.56899999999999995</v>
      </c>
      <c r="D6" s="61">
        <v>1.4E-2</v>
      </c>
      <c r="E6" s="61">
        <v>0.251</v>
      </c>
      <c r="F6" s="30">
        <v>2.4E-2</v>
      </c>
      <c r="G6" s="61">
        <v>0.27538000000000001</v>
      </c>
      <c r="H6" s="61">
        <v>0</v>
      </c>
      <c r="I6" s="61">
        <v>0.251</v>
      </c>
      <c r="J6" s="30">
        <v>2.4E-2</v>
      </c>
      <c r="K6">
        <f t="shared" si="0"/>
        <v>0.14585745999999999</v>
      </c>
      <c r="L6" s="45">
        <f t="shared" si="1"/>
        <v>0.13346172000000001</v>
      </c>
      <c r="M6" s="22">
        <f t="shared" si="2"/>
        <v>4.1496447369999995E-2</v>
      </c>
      <c r="N6" s="45">
        <f t="shared" si="3"/>
        <v>1.6749445860000003E-2</v>
      </c>
    </row>
    <row r="7" spans="1:14" x14ac:dyDescent="0.45">
      <c r="A7" s="93"/>
      <c r="B7" s="13">
        <v>0.25634000000000001</v>
      </c>
      <c r="C7">
        <v>0.56899999999999995</v>
      </c>
      <c r="D7">
        <v>4.0000000000000001E-3</v>
      </c>
      <c r="E7">
        <v>0.13200000000000001</v>
      </c>
      <c r="F7" s="15">
        <v>1.2E-2</v>
      </c>
      <c r="G7" s="14">
        <v>0.78227999999999998</v>
      </c>
      <c r="H7">
        <v>0</v>
      </c>
      <c r="I7">
        <v>0.13200000000000001</v>
      </c>
      <c r="J7" s="15">
        <v>1.2E-2</v>
      </c>
      <c r="K7">
        <f t="shared" si="0"/>
        <v>0.14585745999999999</v>
      </c>
      <c r="L7" s="45">
        <f t="shared" si="1"/>
        <v>0.13709784</v>
      </c>
      <c r="M7" s="22">
        <f t="shared" si="2"/>
        <v>4.1496447369999995E-2</v>
      </c>
      <c r="N7" s="45">
        <f t="shared" si="3"/>
        <v>9.048457440000001E-3</v>
      </c>
    </row>
    <row r="8" spans="1:14" x14ac:dyDescent="0.45">
      <c r="A8" s="94"/>
      <c r="B8" s="17">
        <v>0.76324000000000003</v>
      </c>
      <c r="C8" s="19">
        <v>0.48</v>
      </c>
      <c r="D8" s="19">
        <v>4.0000000000000001E-3</v>
      </c>
      <c r="E8" s="19">
        <v>0.34399999999999997</v>
      </c>
      <c r="F8" s="20">
        <v>1.4999999999999999E-2</v>
      </c>
      <c r="G8" s="18">
        <v>0.27538000000000001</v>
      </c>
      <c r="H8" s="19">
        <v>0</v>
      </c>
      <c r="I8" s="19">
        <v>0.34399999999999997</v>
      </c>
      <c r="J8" s="20">
        <v>1.4999999999999999E-2</v>
      </c>
      <c r="K8" s="52">
        <f t="shared" si="0"/>
        <v>0.36635519999999999</v>
      </c>
      <c r="L8" s="54">
        <f t="shared" si="1"/>
        <v>0.35728527999999998</v>
      </c>
      <c r="M8" s="63">
        <f t="shared" si="2"/>
        <v>8.7925247999999998E-2</v>
      </c>
      <c r="N8" s="54">
        <f t="shared" si="3"/>
        <v>6.1453068159999999E-2</v>
      </c>
    </row>
    <row r="9" spans="1:14" x14ac:dyDescent="0.45">
      <c r="A9" s="64"/>
    </row>
  </sheetData>
  <mergeCells count="4">
    <mergeCell ref="B1:F1"/>
    <mergeCell ref="G1:J1"/>
    <mergeCell ref="A3:A5"/>
    <mergeCell ref="A6:A8"/>
  </mergeCells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3"/>
  <sheetViews>
    <sheetView workbookViewId="0">
      <selection activeCell="D7" sqref="D7"/>
    </sheetView>
  </sheetViews>
  <sheetFormatPr defaultRowHeight="14.25" x14ac:dyDescent="0.45"/>
  <sheetData>
    <row r="1" spans="1:4" x14ac:dyDescent="0.45">
      <c r="A1" s="71" t="s">
        <v>42</v>
      </c>
      <c r="B1" s="72"/>
      <c r="C1" s="73" t="s">
        <v>43</v>
      </c>
      <c r="D1" s="72"/>
    </row>
    <row r="2" spans="1:4" x14ac:dyDescent="0.45">
      <c r="A2" s="55" t="s">
        <v>24</v>
      </c>
      <c r="B2" s="57" t="s">
        <v>44</v>
      </c>
      <c r="C2" s="47" t="s">
        <v>24</v>
      </c>
      <c r="D2" s="57" t="s">
        <v>44</v>
      </c>
    </row>
    <row r="3" spans="1:4" x14ac:dyDescent="0.45">
      <c r="A3" s="63">
        <v>0.29006999999999999</v>
      </c>
      <c r="B3" s="54">
        <v>0.68100000000000005</v>
      </c>
      <c r="C3" s="52">
        <f>0.29007+0.18594</f>
        <v>0.47600999999999999</v>
      </c>
      <c r="D3" s="54">
        <v>0.93600000000000005</v>
      </c>
    </row>
  </sheetData>
  <mergeCells count="2">
    <mergeCell ref="A1:B1"/>
    <mergeCell ref="C1:D1"/>
  </mergeCells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oglio5"/>
  <dimension ref="A1:B8"/>
  <sheetViews>
    <sheetView workbookViewId="0">
      <selection activeCell="H17" sqref="H17"/>
    </sheetView>
  </sheetViews>
  <sheetFormatPr defaultRowHeight="14.25" x14ac:dyDescent="0.45"/>
  <cols>
    <col min="1" max="1" width="18.46484375" customWidth="1"/>
    <col min="2" max="3" width="16.9296875" bestFit="1" customWidth="1"/>
  </cols>
  <sheetData>
    <row r="1" spans="1:2" x14ac:dyDescent="0.45">
      <c r="B1" s="65" t="s">
        <v>45</v>
      </c>
    </row>
    <row r="2" spans="1:2" x14ac:dyDescent="0.45">
      <c r="B2" s="66">
        <v>1.478</v>
      </c>
    </row>
    <row r="3" spans="1:2" x14ac:dyDescent="0.45">
      <c r="B3" s="66">
        <v>1.5192000000000001</v>
      </c>
    </row>
    <row r="4" spans="1:2" x14ac:dyDescent="0.45">
      <c r="B4" s="66">
        <v>1.5113000000000001</v>
      </c>
    </row>
    <row r="5" spans="1:2" x14ac:dyDescent="0.45">
      <c r="B5" s="66">
        <v>1.5176000000000001</v>
      </c>
    </row>
    <row r="6" spans="1:2" x14ac:dyDescent="0.45">
      <c r="B6" s="66">
        <v>1.5246999999999999</v>
      </c>
    </row>
    <row r="7" spans="1:2" x14ac:dyDescent="0.45">
      <c r="A7" s="67" t="s">
        <v>46</v>
      </c>
      <c r="B7" s="68">
        <f>AVERAGE(B2:B6)</f>
        <v>1.5101600000000002</v>
      </c>
    </row>
    <row r="8" spans="1:2" x14ac:dyDescent="0.45">
      <c r="A8" s="69" t="s">
        <v>47</v>
      </c>
      <c r="B8" s="70">
        <f>_xlfn.STDEV.S(B2:B6)/SQRT(COUNT(B2:B6))</f>
        <v>8.3188100110532705E-3</v>
      </c>
    </row>
  </sheetData>
  <pageMargins left="0.7" right="0.7" top="0.75" bottom="0.75" header="0.3" footer="0.3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
</file>

<file path=customXml/itemProps1.xml><?xml version="1.0" encoding="utf-8"?>
<ds:datastoreItem xmlns:ds="http://schemas.openxmlformats.org/officeDocument/2006/customXml" ds:itemID="{EB146277-E2E3-4D76-8D30-7199B5C8E29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Misura masse</vt:lpstr>
      <vt:lpstr>Carrello</vt:lpstr>
      <vt:lpstr>Piano inclinato</vt:lpstr>
      <vt:lpstr>Urto magnete e molla</vt:lpstr>
      <vt:lpstr>Urti tra carrelli</vt:lpstr>
      <vt:lpstr>Attrito statico</vt:lpstr>
      <vt:lpstr>Attrito dinamico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cp:revision>5</cp:revision>
  <dcterms:created xsi:type="dcterms:W3CDTF">2026-04-21T08:47:18Z</dcterms:created>
  <dcterms:modified xsi:type="dcterms:W3CDTF">2026-06-09T13:19:55Z</dcterms:modified>
</cp:coreProperties>
</file>