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5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<sst xmlns="http://schemas.openxmlformats.org/spreadsheetml/2006/main" count="48" uniqueCount="48">
  <si>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</si>
  <si>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</si>
  <si>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</si>
  <si>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</si>
  <si>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</si>
  <si>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</si>
  <si>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</si>
  <si>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</si>
  <si>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</si>
  <si>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</si>
  <si>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</si>
  <si>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</si>
  <si>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</si>
  <si>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</si>
  <si>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</si>
  <si>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</si>
  <si>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</si>
  <si>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</si>
  <si>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</si>
  <si>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</si>
  <si>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</si>
  <si>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</si>
  <si>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</si>
  <si>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</si>
  <si>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</si>
  <si>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</si>
  <si>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</si>
  <si>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</si>
  <si>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</si>
  <si>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</si>
  <si>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</si>
  <si>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</si>
  <si>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</si>
  <si>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</si>
  <si>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</si>
  <si>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</si>
  <si>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sv (m/s)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</si>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</sst>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38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34" numFmtId="0" xfId="0" applyFill="1" applyBorder="1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9" borderId="0" numFmtId="0" xfId="0" applyFill="1"/>
    <xf fontId="0" fillId="8" borderId="32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0" borderId="7" numFmtId="164" xfId="0" applyNumberFormat="1" applyBorder="1"/>
    <xf fontId="0" fillId="0" borderId="8" numFmtId="0" xfId="0" applyBorder="1"/>
    <xf fontId="0" fillId="8" borderId="21" numFmtId="0" xfId="0" applyFill="1" applyBorder="1" applyAlignment="1">
      <alignment horizontal="center" vertical="center"/>
    </xf>
    <xf fontId="0" fillId="0" borderId="0" numFmtId="165" xfId="0" applyNumberFormat="1"/>
    <xf fontId="0" fillId="0" borderId="0" numFmtId="0" xfId="0"/>
    <xf fontId="0" fillId="8" borderId="33" numFmtId="0" xfId="0" applyFill="1" applyBorder="1" applyAlignment="1">
      <alignment horizontal="center" vertical="center"/>
    </xf>
    <xf fontId="0" fillId="0" borderId="17" numFmtId="165" xfId="0" applyNumberFormat="1" applyBorder="1"/>
    <xf fontId="0" fillId="0" borderId="33" numFmtId="0" xfId="0" applyBorder="1"/>
    <xf fontId="0" fillId="0" borderId="0" numFmtId="0" xfId="0" applyAlignment="1">
      <alignment vertical="center"/>
    </xf>
    <xf fontId="0" fillId="10" borderId="18" numFmtId="0" xfId="0" applyFill="1" applyBorder="1" applyAlignment="1">
      <alignment horizontal="center"/>
    </xf>
    <xf fontId="0" fillId="10" borderId="30" numFmtId="0" xfId="0" applyFill="1" applyBorder="1" applyAlignment="1">
      <alignment horizontal="center"/>
    </xf>
    <xf fontId="0" fillId="10" borderId="1" numFmtId="0" xfId="0" applyFill="1" applyBorder="1" applyAlignment="1">
      <alignment horizontal="center"/>
    </xf>
    <xf fontId="0" fillId="10" borderId="35" numFmtId="0" xfId="0" applyFill="1" applyBorder="1"/>
    <xf fontId="0" fillId="0" borderId="36" numFmtId="0" xfId="0" applyBorder="1"/>
    <xf fontId="0" fillId="8" borderId="35" numFmtId="0" xfId="0" applyFill="1" applyBorder="1"/>
    <xf fontId="0" fillId="0" borderId="35" numFmtId="0" xfId="0" applyBorder="1"/>
    <xf fontId="0" fillId="8" borderId="37" numFmtId="0" xfId="0" applyFill="1" applyBorder="1"/>
    <xf fontId="0" fillId="0" borderId="37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customWidth="1" min="2" max="2" width="14.00390625"/>
    <col bestFit="1" customWidth="1" min="3" max="3" width="17.79296875"/>
    <col customWidth="1" min="4" max="4" width="11.00390625"/>
    <col bestFit="1" customWidth="1" min="5" max="5" width="16.54296875"/>
    <col customWidth="1" min="6" max="6" width="10.00390625"/>
    <col bestFit="1" customWidth="1" min="7" max="8" width="17.79296875"/>
    <col bestFit="1" customWidth="1" min="9" max="9" width="16.54296875"/>
    <col customWidth="1" min="10" max="10" width="11.875"/>
    <col bestFit="1" customWidth="1" min="11" max="11" width="13.265625"/>
    <col bestFit="1" min="13" max="13" width="9.625"/>
  </cols>
  <sheetData>
    <row r="1" ht="14.65">
      <c r="B1" s="70" t="s">
        <v>34</v>
      </c>
      <c r="C1" s="71"/>
      <c r="D1" s="71"/>
      <c r="E1" s="71"/>
      <c r="F1" s="71"/>
      <c r="G1" s="72" t="s">
        <v>35</v>
      </c>
      <c r="H1" s="72"/>
      <c r="I1" s="72"/>
      <c r="J1" s="72"/>
    </row>
    <row r="2" ht="14.65">
      <c r="B2" s="73" t="s">
        <v>24</v>
      </c>
      <c r="C2" s="62" t="s">
        <v>27</v>
      </c>
      <c r="D2" s="74" t="s">
        <v>36</v>
      </c>
      <c r="E2" s="75" t="s">
        <v>28</v>
      </c>
      <c r="F2" s="74" t="s">
        <v>36</v>
      </c>
      <c r="G2" s="62" t="s">
        <v>24</v>
      </c>
      <c r="H2" s="62" t="s">
        <v>27</v>
      </c>
      <c r="I2" s="62" t="s">
        <v>28</v>
      </c>
      <c r="J2" s="74" t="s">
        <v>36</v>
      </c>
      <c r="K2" s="76" t="s">
        <v>37</v>
      </c>
      <c r="L2" s="77" t="s">
        <v>38</v>
      </c>
      <c r="M2" s="76" t="s">
        <v>39</v>
      </c>
      <c r="N2" s="77" t="s">
        <v>40</v>
      </c>
    </row>
    <row r="3">
      <c r="A3" s="78" t="s">
        <v>32</v>
      </c>
      <c r="B3" s="79">
        <v>0.25634000000000001</v>
      </c>
      <c r="C3" s="80">
        <v>0.51800000000000002</v>
      </c>
      <c r="D3" s="80">
        <v>2.8000000000000001e-002</v>
      </c>
      <c r="E3" s="80">
        <v>-1.9e-002</v>
      </c>
      <c r="F3" s="34">
        <v>8.0000000000000002e-003</v>
      </c>
      <c r="G3" s="9">
        <v>0.27538000000000001</v>
      </c>
      <c r="H3" s="80">
        <v>0</v>
      </c>
      <c r="I3" s="80">
        <v>0.49099999999999999</v>
      </c>
      <c r="J3" s="34">
        <v>1.e-002</v>
      </c>
      <c r="K3" s="1">
        <f>B3*C3</f>
        <v>0.13278412000000001</v>
      </c>
      <c r="L3" s="65">
        <f>B3*E3+G3*I3</f>
        <v>0.13034112</v>
      </c>
      <c r="M3" s="21">
        <f>0.5*B3*C3^2</f>
        <v>3.439108708e-002</v>
      </c>
      <c r="N3" s="65">
        <f>0.5*(B3*E3^2+G3*I3^2)</f>
        <v>3.3240712259999999e-002</v>
      </c>
    </row>
    <row r="4">
      <c r="A4" s="81"/>
      <c r="B4" s="13">
        <v>0.25634000000000001</v>
      </c>
      <c r="C4" s="82">
        <v>0.50900000000000001</v>
      </c>
      <c r="D4" s="83">
        <v>1.6e-002</v>
      </c>
      <c r="E4">
        <v>-0.21299999999999999</v>
      </c>
      <c r="F4" s="15">
        <v>1.2999999999999999e-002</v>
      </c>
      <c r="G4" s="14">
        <v>0.78227999999999998</v>
      </c>
      <c r="H4">
        <v>0</v>
      </c>
      <c r="I4" s="61">
        <v>0.23999999999999999</v>
      </c>
      <c r="J4" s="15">
        <v>4.0000000000000001e-003</v>
      </c>
      <c r="K4">
        <f>B4*C4</f>
        <v>0.13047706000000001</v>
      </c>
      <c r="L4" s="60">
        <f>B4*E4+G4*I4</f>
        <v>0.13314677999999996</v>
      </c>
      <c r="M4" s="26">
        <f>0.5*B4*C4^2</f>
        <v>3.3206411769999999e-002</v>
      </c>
      <c r="N4" s="60">
        <f>0.5*(B4*E4^2+G4*I4^2)</f>
        <v>2.8344608729999998e-002</v>
      </c>
    </row>
    <row r="5" ht="14.65">
      <c r="A5" s="84"/>
      <c r="B5" s="17">
        <v>0.76324000000000003</v>
      </c>
      <c r="C5" s="19">
        <v>0.34599999999999997</v>
      </c>
      <c r="D5" s="19">
        <v>1.2999999999999999e-002</v>
      </c>
      <c r="E5" s="19">
        <v>0.16300000000000001</v>
      </c>
      <c r="F5" s="85">
        <v>1.e-002</v>
      </c>
      <c r="G5" s="18">
        <v>0.27538000000000001</v>
      </c>
      <c r="H5" s="19">
        <v>0</v>
      </c>
      <c r="I5">
        <v>0.48499999999999999</v>
      </c>
      <c r="J5" s="20">
        <v>1.4e-002</v>
      </c>
      <c r="K5" s="67">
        <f>B5*C5</f>
        <v>0.26408103999999999</v>
      </c>
      <c r="L5" s="69">
        <f>B5*E5+G5*I5</f>
        <v>0.25796742</v>
      </c>
      <c r="M5" s="86">
        <f>0.5*B5*C5^2</f>
        <v>4.5686019919999994e-002</v>
      </c>
      <c r="N5" s="69">
        <f>0.5*(B5*E5^2+G5*I5^2)</f>
        <v>4.252739203e-002</v>
      </c>
    </row>
    <row r="6">
      <c r="A6" s="78" t="s">
        <v>41</v>
      </c>
      <c r="B6" s="79">
        <v>0.25634000000000001</v>
      </c>
      <c r="C6" s="80">
        <v>0.56899999999999995</v>
      </c>
      <c r="D6" s="80">
        <v>1.4e-002</v>
      </c>
      <c r="E6" s="80">
        <v>0.251</v>
      </c>
      <c r="F6" s="34">
        <v>2.4e-002</v>
      </c>
      <c r="G6" s="80">
        <v>0.27538000000000001</v>
      </c>
      <c r="H6" s="80">
        <v>0</v>
      </c>
      <c r="I6" s="80">
        <v>0.251</v>
      </c>
      <c r="J6" s="34">
        <v>2.4e-002</v>
      </c>
      <c r="K6">
        <f>B6*C6</f>
        <v>0.14585745999999999</v>
      </c>
      <c r="L6" s="60">
        <f>B6*E6+G6*I6</f>
        <v>0.13346172000000001</v>
      </c>
      <c r="M6" s="26">
        <f>0.5*B6*C6^2</f>
        <v>4.1496447369999995e-002</v>
      </c>
      <c r="N6" s="60">
        <f>0.5*(B6*E6^2+G6*I6^2)</f>
        <v>1.6749445860000003e-002</v>
      </c>
    </row>
    <row r="7">
      <c r="A7" s="81"/>
      <c r="B7" s="13">
        <v>0.25634000000000001</v>
      </c>
      <c r="C7">
        <v>0.56899999999999995</v>
      </c>
      <c r="D7">
        <v>4.0000000000000001e-003</v>
      </c>
      <c r="E7">
        <v>0.13200000000000001</v>
      </c>
      <c r="F7" s="15">
        <v>1.2e-002</v>
      </c>
      <c r="G7" s="14">
        <v>0.78227999999999998</v>
      </c>
      <c r="H7">
        <v>0</v>
      </c>
      <c r="I7">
        <v>0.13200000000000001</v>
      </c>
      <c r="J7" s="15">
        <v>1.2e-002</v>
      </c>
      <c r="K7">
        <f>B7*C7</f>
        <v>0.14585745999999999</v>
      </c>
      <c r="L7" s="60">
        <f>B7*E7+G7*I7</f>
        <v>0.13709784</v>
      </c>
      <c r="M7" s="26">
        <f>0.5*B7*C7^2</f>
        <v>4.1496447369999995e-002</v>
      </c>
      <c r="N7" s="60">
        <f>0.5*(B7*E7^2+G7*I7^2)</f>
        <v>9.048457440000001e-003</v>
      </c>
    </row>
    <row r="8" ht="14.65">
      <c r="A8" s="84"/>
      <c r="B8" s="17">
        <v>0.76324000000000003</v>
      </c>
      <c r="C8" s="19">
        <v>0.47999999999999998</v>
      </c>
      <c r="D8" s="19">
        <v>4.0000000000000001e-003</v>
      </c>
      <c r="E8" s="19">
        <v>0.34399999999999997</v>
      </c>
      <c r="F8" s="20">
        <v>1.4999999999999999e-002</v>
      </c>
      <c r="G8" s="18">
        <v>0.27538000000000001</v>
      </c>
      <c r="H8" s="19">
        <v>0</v>
      </c>
      <c r="I8" s="19">
        <v>0.34399999999999997</v>
      </c>
      <c r="J8" s="20">
        <v>1.4999999999999999e-002</v>
      </c>
      <c r="K8" s="67">
        <f>B8*C8</f>
        <v>0.36635519999999999</v>
      </c>
      <c r="L8" s="69">
        <f>B8*E8+G8*I8</f>
        <v>0.35728527999999998</v>
      </c>
      <c r="M8" s="86">
        <f>0.5*B8*C8^2</f>
        <v>8.7925247999999998e-002</v>
      </c>
      <c r="N8" s="69">
        <f>0.5*(B8*E8^2+G8*I8^2)</f>
        <v>6.1453068159999999e-002</v>
      </c>
    </row>
    <row r="9">
      <c r="A9" s="87"/>
    </row>
  </sheetData>
  <mergeCells count="4">
    <mergeCell ref="B1:F1"/>
    <mergeCell ref="G1:J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42</v>
      </c>
      <c r="B1" s="89"/>
      <c r="C1" s="90" t="s">
        <v>43</v>
      </c>
      <c r="D1" s="89"/>
    </row>
    <row r="2">
      <c r="A2" s="73" t="s">
        <v>24</v>
      </c>
      <c r="B2" s="75" t="s">
        <v>44</v>
      </c>
      <c r="C2" s="62" t="s">
        <v>24</v>
      </c>
      <c r="D2" s="75" t="s">
        <v>44</v>
      </c>
    </row>
    <row r="3" ht="14.65">
      <c r="A3" s="86">
        <v>0.29006999999999999</v>
      </c>
      <c r="B3" s="69">
        <v>0.68100000000000005</v>
      </c>
      <c r="C3" s="67">
        <f>0.29007+0.18594</f>
        <v>0.47600999999999999</v>
      </c>
      <c r="D3" s="69">
        <v>0.93600000000000005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45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46</v>
      </c>
      <c r="B7" s="94">
        <f>AVERAGE(B2:B6)</f>
        <v>1.5101600000000002</v>
      </c>
    </row>
    <row r="8" ht="14.65">
      <c r="A8" s="95" t="s">
        <v>47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5</cp:revision>
  <dcterms:created xsi:type="dcterms:W3CDTF">2026-04-21T08:47:18Z</dcterms:created>
  <dcterms:modified xsi:type="dcterms:W3CDTF">2026-06-07T23:20:08Z</dcterms:modified>
</cp:coreProperties>
</file>