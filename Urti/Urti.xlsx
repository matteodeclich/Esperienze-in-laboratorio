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Questa_cartella_di_lavoro"/>
  <bookViews>
    <workbookView xWindow="360" yWindow="15" windowWidth="20955" windowHeight="9720" activeTab="2"/>
  </bookViews>
  <sheets>
    <sheet name="Misura masse" sheetId="1" state="visible" r:id="rId2"/>
    <sheet name="Carrello" sheetId="2" state="visible" r:id="rId3"/>
    <sheet name="Piano inclinato" sheetId="3" state="visible" r:id="rId4"/>
    <sheet name="Urto magnete e molla" sheetId="4" state="visible" r:id="rId5"/>
    <sheet name="Urti tra carrelli" sheetId="5" state="visible" r:id="rId6"/>
    <sheet name="Attrito statico" sheetId="6" state="visible" r:id="rId7"/>
    <sheet name="Attrito dinamico" sheetId="7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<sst xmlns="http://schemas.openxmlformats.org/spreadsheetml/2006/main" count="47" uniqueCount="47">
  <si>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 xml:space="preserve">Carrello rosso (kg)</t>
  </si>
  <si>
    <t xml:space="preserve">Carrello blu  (kg)</t>
  </si>
  <si>
    <t xml:space="preserve">massa 1  (kg)</t>
  </si>
  <si>
    <t xml:space="preserve">massa 2  (kg)</t>
  </si>
  <si>
    <t xml:space="preserve">Massa totale  (kg)</t>
  </si>
  <si>
    <t xml:space="preserve">massa Libro 1  (kg)</t>
  </si>
  <si>
    <t xml:space="preserve">massa Libro 2  (kg)</t>
  </si>
  <si>
    <t xml:space="preserve">Errore sulla massa (kg)</t>
  </si>
  <si>
    <t xml:space="preserve">Massa </t>
  </si>
  <si>
    <t xml:space="preserve">Massa con magnete</t>
  </si>
  <si>
    <t xml:space="preserve">Massa con molla</t>
  </si>
  <si>
    <t xml:space="preserve">Interpolazione carrello</t>
  </si>
  <si>
    <t xml:space="preserve">Interpolazione carrello+masse</t>
  </si>
  <si>
    <t xml:space="preserve">m (kg)</t>
  </si>
  <si>
    <t xml:space="preserve">sm (kg)</t>
  </si>
  <si>
    <t>Media</t>
  </si>
  <si>
    <t>Incertezza</t>
  </si>
  <si>
    <t xml:space="preserve">Errore sulla media</t>
  </si>
  <si>
    <t xml:space="preserve">Interpolazione piano inclinato</t>
  </si>
  <si>
    <t>Angolo</t>
  </si>
  <si>
    <t>incertezza</t>
  </si>
  <si>
    <t>m</t>
  </si>
  <si>
    <t>sm</t>
  </si>
  <si>
    <t>θ</t>
  </si>
  <si>
    <t>sθ</t>
  </si>
  <si>
    <t xml:space="preserve">Massa (kg)</t>
  </si>
  <si>
    <t xml:space="preserve">Area (N*s)</t>
  </si>
  <si>
    <t xml:space="preserve">Incertezza (N*s)</t>
  </si>
  <si>
    <t xml:space="preserve">Velocità iniziale (m/s)</t>
  </si>
  <si>
    <t xml:space="preserve">Velocità finale (m/s)</t>
  </si>
  <si>
    <t xml:space="preserve">Impulso (N*s)</t>
  </si>
  <si>
    <t xml:space="preserve">ΔE (J)</t>
  </si>
  <si>
    <t xml:space="preserve">Coeff. di restituzione</t>
  </si>
  <si>
    <t>Magnete</t>
  </si>
  <si>
    <t>Molla</t>
  </si>
  <si>
    <t xml:space="preserve">Carrello rosso</t>
  </si>
  <si>
    <t xml:space="preserve">Carrello blu</t>
  </si>
  <si>
    <t xml:space="preserve">Quantità di moto iniziale (kg*m/s)</t>
  </si>
  <si>
    <t xml:space="preserve">Quantità di moto finale (kg*m/s)</t>
  </si>
  <si>
    <t xml:space="preserve">Energia inizale (J)</t>
  </si>
  <si>
    <t xml:space="preserve">Energia finale (J)</t>
  </si>
  <si>
    <t>Velcro</t>
  </si>
  <si>
    <t xml:space="preserve">1 libro</t>
  </si>
  <si>
    <t xml:space="preserve">2 libri</t>
  </si>
  <si>
    <t xml:space="preserve">F (N)</t>
  </si>
  <si>
    <t xml:space="preserve">Coefficiente angolare</t>
  </si>
  <si>
    <t xml:space="preserve">Errore della media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</si>
</sst>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">
    <font>
      <sz val="11.000000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"/>
      </patternFill>
    </fill>
    <fill>
      <patternFill patternType="solid">
        <fgColor theme="3" tint="0.249977111117893"/>
      </patternFill>
    </fill>
    <fill>
      <patternFill patternType="solid">
        <fgColor indexed="5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theme="5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7">
    <xf fontId="0" fillId="0" borderId="0" numFmtId="0" xfId="0"/>
    <xf fontId="0" fillId="0" borderId="1" numFmtId="0" xfId="0" applyBorder="1"/>
    <xf fontId="0" fillId="2" borderId="1" numFmtId="0" xfId="0" applyFill="1" applyBorder="1"/>
    <xf fontId="0" fillId="3" borderId="1" numFmtId="0" xfId="0" applyFill="1" applyBorder="1"/>
    <xf fontId="0" fillId="4" borderId="1" numFmtId="0" xfId="0" applyFill="1" applyBorder="1"/>
    <xf fontId="0" fillId="4" borderId="0" numFmtId="0" xfId="0" applyFill="1"/>
    <xf fontId="0" fillId="4" borderId="2" numFmtId="0" xfId="0" applyFill="1" applyBorder="1"/>
    <xf fontId="0" fillId="4" borderId="3" numFmtId="0" xfId="0" applyFill="1" applyBorder="1"/>
    <xf fontId="0" fillId="0" borderId="0" numFmtId="164" xfId="0" applyNumberFormat="1"/>
    <xf fontId="0" fillId="0" borderId="4" numFmtId="164" xfId="0" applyNumberFormat="1" applyBorder="1"/>
    <xf fontId="0" fillId="0" borderId="5" numFmtId="164" xfId="0" applyNumberFormat="1" applyBorder="1"/>
    <xf fontId="0" fillId="0" borderId="4" numFmtId="0" xfId="0" applyBorder="1"/>
    <xf fontId="0" fillId="4" borderId="6" numFmtId="0" xfId="0" applyFill="1" applyBorder="1"/>
    <xf fontId="0" fillId="0" borderId="6" numFmtId="0" xfId="0" applyBorder="1"/>
    <xf fontId="0" fillId="0" borderId="6" numFmtId="164" xfId="0" applyNumberFormat="1" applyBorder="1"/>
    <xf fontId="0" fillId="0" borderId="7" numFmtId="0" xfId="0" applyBorder="1"/>
    <xf fontId="0" fillId="0" borderId="8" numFmtId="0" xfId="0" applyBorder="1"/>
    <xf fontId="0" fillId="4" borderId="8" numFmtId="0" xfId="0" applyFill="1" applyBorder="1" applyAlignment="1">
      <alignment horizontal="center"/>
    </xf>
    <xf fontId="0" fillId="4" borderId="2" numFmtId="0" xfId="0" applyFill="1" applyBorder="1" applyAlignment="1">
      <alignment horizontal="center"/>
    </xf>
    <xf fontId="0" fillId="4" borderId="1" numFmtId="0" xfId="0" applyFill="1" applyBorder="1" applyAlignment="1">
      <alignment horizontal="center"/>
    </xf>
    <xf fontId="0" fillId="0" borderId="9" numFmtId="0" xfId="0" applyBorder="1"/>
    <xf fontId="0" fillId="5" borderId="9" numFmtId="0" xfId="0" applyFill="1" applyBorder="1"/>
    <xf fontId="0" fillId="5" borderId="4" numFmtId="0" xfId="0" applyFill="1" applyBorder="1"/>
    <xf fontId="0" fillId="5" borderId="0" numFmtId="0" xfId="0" applyFill="1"/>
    <xf fontId="0" fillId="0" borderId="10" numFmtId="0" xfId="0" applyBorder="1"/>
    <xf fontId="0" fillId="6" borderId="9" numFmtId="0" xfId="0" applyFill="1" applyBorder="1"/>
    <xf fontId="0" fillId="6" borderId="10" numFmtId="0" xfId="0" applyFill="1" applyBorder="1"/>
    <xf fontId="0" fillId="4" borderId="8" numFmtId="0" xfId="0" applyFill="1" applyBorder="1"/>
    <xf fontId="0" fillId="7" borderId="8" numFmtId="0" xfId="0" applyFill="1" applyBorder="1"/>
    <xf fontId="0" fillId="7" borderId="1" numFmtId="0" xfId="0" applyFill="1" applyBorder="1"/>
    <xf fontId="0" fillId="7" borderId="2" numFmtId="0" xfId="0" applyFill="1" applyBorder="1"/>
    <xf fontId="0" fillId="0" borderId="7" numFmtId="164" xfId="0" applyNumberFormat="1" applyBorder="1"/>
    <xf fontId="0" fillId="0" borderId="8" numFmtId="164" xfId="0" applyNumberFormat="1" applyBorder="1"/>
    <xf fontId="0" fillId="0" borderId="1" numFmtId="164" xfId="0" applyNumberFormat="1" applyBorder="1"/>
    <xf fontId="0" fillId="0" borderId="2" numFmtId="0" xfId="0" applyBorder="1"/>
    <xf fontId="0" fillId="0" borderId="10" numFmtId="164" xfId="0" applyNumberFormat="1" applyBorder="1"/>
    <xf fontId="0" fillId="2" borderId="8" numFmtId="0" xfId="0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3" borderId="0" numFmtId="0" xfId="0" applyFill="1" applyAlignment="1">
      <alignment horizontal="center"/>
    </xf>
    <xf fontId="0" fillId="5" borderId="6" numFmtId="0" xfId="0" applyFill="1" applyBorder="1"/>
    <xf fontId="0" fillId="5" borderId="8" numFmtId="0" xfId="0" applyFill="1" applyBorder="1"/>
    <xf fontId="0" fillId="5" borderId="2" numFmtId="0" xfId="0" applyFill="1" applyBorder="1"/>
    <xf fontId="0" fillId="5" borderId="8" numFmtId="0" xfId="0" applyFill="1" applyBorder="1" applyAlignment="1">
      <alignment horizontal="center" vertical="center"/>
    </xf>
    <xf fontId="0" fillId="5" borderId="9" numFmtId="0" xfId="0" applyFill="1" applyBorder="1" applyAlignment="1">
      <alignment horizontal="center" vertical="center"/>
    </xf>
    <xf fontId="0" fillId="0" borderId="9" numFmtId="164" xfId="0" applyNumberFormat="1" applyBorder="1"/>
    <xf fontId="0" fillId="0" borderId="0" numFmtId="165" xfId="0" applyNumberFormat="1"/>
    <xf fontId="0" fillId="5" borderId="10" numFmtId="0" xfId="0" applyFill="1" applyBorder="1" applyAlignment="1">
      <alignment horizontal="center" vertical="center"/>
    </xf>
    <xf fontId="0" fillId="5" borderId="3" numFmtId="0" xfId="0" applyFill="1" applyBorder="1" applyAlignment="1">
      <alignment horizontal="center" vertical="center"/>
    </xf>
    <xf fontId="0" fillId="5" borderId="11" numFmtId="0" xfId="0" applyFill="1" applyBorder="1" applyAlignment="1">
      <alignment horizontal="center" vertical="center"/>
    </xf>
    <xf fontId="0" fillId="5" borderId="5" numFmtId="0" xfId="0" applyFill="1" applyBorder="1" applyAlignment="1">
      <alignment horizontal="center" vertical="center"/>
    </xf>
    <xf fontId="0" fillId="0" borderId="0" numFmtId="0" xfId="0" applyAlignment="1">
      <alignment vertical="center"/>
    </xf>
    <xf fontId="0" fillId="0" borderId="11" numFmtId="0" xfId="0" applyBorder="1"/>
    <xf fontId="0" fillId="5" borderId="3" numFmtId="0" xfId="0" applyFill="1" applyBorder="1"/>
    <xf fontId="0" fillId="0" borderId="3" numFmtId="0" xfId="0" applyBorder="1"/>
    <xf fontId="0" fillId="5" borderId="5" numFmtId="0" xfId="0" applyFill="1" applyBorder="1"/>
    <xf fontId="0" fillId="0" borderId="5" numFmt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1">
    <outlinePr applyStyles="0" summaryBelow="1" summaryRight="1" showOutlineSymbols="1"/>
    <pageSetUpPr autoPageBreaks="1" fitToPage="0"/>
  </sheetPr>
  <sheetViews>
    <sheetView zoomScale="100" workbookViewId="0">
      <selection activeCell="G2" activeCellId="0" sqref="G2"/>
    </sheetView>
  </sheetViews>
  <sheetFormatPr defaultRowHeight="14.25"/>
  <cols>
    <col customWidth="1" min="1" max="1" width="15.19921875"/>
    <col bestFit="1" customWidth="1" min="2" max="2" width="14.9296875"/>
    <col bestFit="1" customWidth="1" min="3" max="3" width="13.3984375"/>
    <col bestFit="1" customWidth="1" min="4" max="5" width="10.796875"/>
    <col bestFit="1" customWidth="1" min="6" max="6" width="14.265625"/>
    <col bestFit="1" customWidth="1" min="7" max="8" width="15.1328125"/>
    <col bestFit="1" customWidth="1" min="9" max="9" width="18.3984375"/>
    <col bestFit="1" customWidth="1" min="10" max="10" width="11.46484375"/>
    <col bestFit="1" customWidth="1" min="11" max="12" width="18.3984375"/>
    <col bestFit="1" customWidth="1" min="13" max="13" width="13.1328125"/>
    <col bestFit="1" customWidth="1" min="14" max="14" width="9.265625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7" t="s">
        <v>7</v>
      </c>
    </row>
    <row r="2" ht="14.65">
      <c r="A2" s="5" t="s">
        <v>8</v>
      </c>
      <c r="C2" s="8">
        <v>0.25452000000000002</v>
      </c>
      <c r="D2" s="8">
        <v>0.25314999999999999</v>
      </c>
      <c r="E2" s="8">
        <v>0.25374999999999998</v>
      </c>
      <c r="F2" s="8">
        <f>SUM(C2:E2)</f>
        <v>0.76141999999999999</v>
      </c>
      <c r="G2" s="8">
        <v>0.29006999999999999</v>
      </c>
      <c r="H2" s="9">
        <v>0.18593999999999999</v>
      </c>
      <c r="I2" s="10">
        <v>5.0000000000000001e-004</v>
      </c>
    </row>
    <row r="3">
      <c r="A3" s="5" t="s">
        <v>9</v>
      </c>
      <c r="B3" s="8">
        <v>0.25634000000000001</v>
      </c>
      <c r="C3" s="8">
        <v>0.27538000000000001</v>
      </c>
      <c r="F3" s="8">
        <f>C3+D2+E2</f>
        <v>0.78227999999999986</v>
      </c>
      <c r="H3" s="11"/>
    </row>
    <row r="4" ht="14.65">
      <c r="A4" s="12" t="s">
        <v>10</v>
      </c>
      <c r="B4" s="13"/>
      <c r="C4" s="14">
        <v>0.25686999999999999</v>
      </c>
      <c r="D4" s="13"/>
      <c r="E4" s="13"/>
      <c r="F4" s="8">
        <f>B3+D2+E2</f>
        <v>0.76323999999999992</v>
      </c>
      <c r="G4" s="13"/>
      <c r="H4" s="15"/>
    </row>
    <row r="15">
      <c r="O15" s="8"/>
    </row>
    <row r="16">
      <c r="O16" s="8"/>
      <c r="P16" s="8"/>
      <c r="Q16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2">
    <outlinePr applyStyles="0" summaryBelow="1" summaryRight="1" showOutlineSymbols="1"/>
    <pageSetUpPr autoPageBreaks="1" fitToPage="0"/>
  </sheetPr>
  <sheetViews>
    <sheetView zoomScale="100" workbookViewId="0">
      <selection activeCell="B2" activeCellId="0" sqref="B2:E2"/>
    </sheetView>
  </sheetViews>
  <sheetFormatPr defaultRowHeight="14.25"/>
  <cols>
    <col bestFit="1" customWidth="1" min="4" max="4" width="11.73046875"/>
    <col customWidth="1" min="5" max="5" width="13.46484375"/>
  </cols>
  <sheetData>
    <row r="1">
      <c r="A1" s="16"/>
      <c r="B1" s="17" t="s">
        <v>11</v>
      </c>
      <c r="C1" s="18"/>
      <c r="D1" s="19" t="s">
        <v>12</v>
      </c>
      <c r="E1" s="18"/>
    </row>
    <row r="2" ht="14.65">
      <c r="A2" s="20"/>
      <c r="B2" s="21" t="s">
        <v>13</v>
      </c>
      <c r="C2" s="22" t="s">
        <v>14</v>
      </c>
      <c r="D2" s="23" t="s">
        <v>13</v>
      </c>
      <c r="E2" s="22" t="s">
        <v>14</v>
      </c>
    </row>
    <row r="3">
      <c r="A3" s="16">
        <v>1</v>
      </c>
      <c r="B3" s="20">
        <v>0.249</v>
      </c>
      <c r="C3" s="11">
        <v>4.0000000000000001e-002</v>
      </c>
      <c r="D3">
        <v>0.76900000000000002</v>
      </c>
      <c r="E3" s="11">
        <v>4.2999999999999997e-002</v>
      </c>
    </row>
    <row r="4">
      <c r="A4" s="20">
        <v>2</v>
      </c>
      <c r="B4" s="20">
        <v>0.253</v>
      </c>
      <c r="C4" s="11">
        <v>4.2999999999999997e-002</v>
      </c>
      <c r="D4">
        <v>0.755</v>
      </c>
      <c r="E4" s="11">
        <v>3.7999999999999999e-002</v>
      </c>
    </row>
    <row r="5" ht="14.65">
      <c r="A5" s="24">
        <v>3</v>
      </c>
      <c r="B5" s="20">
        <v>0.247</v>
      </c>
      <c r="C5" s="11">
        <v>4.2000000000000003e-002</v>
      </c>
      <c r="D5">
        <v>0.749</v>
      </c>
      <c r="E5" s="11">
        <v>3.7999999999999999e-002</v>
      </c>
    </row>
    <row r="6">
      <c r="A6" s="25" t="s">
        <v>15</v>
      </c>
      <c r="B6" s="20">
        <f>AVERAGE(B3:B5)</f>
        <v>0.24966666666666668</v>
      </c>
      <c r="C6" s="11"/>
      <c r="D6">
        <f>AVERAGE(D3:D5)</f>
        <v>0.75766666666666671</v>
      </c>
      <c r="E6" s="11"/>
    </row>
    <row r="7">
      <c r="A7" s="25" t="s">
        <v>16</v>
      </c>
      <c r="B7" s="20">
        <f>_xlfn.STDEV.S(B3:B5)</f>
        <v>3.0550504633038958e-003</v>
      </c>
      <c r="C7" s="11"/>
      <c r="D7">
        <f>_xlfn.STDEV.S(D3:D5)</f>
        <v>1.0263202878893778e-002</v>
      </c>
      <c r="E7" s="11"/>
    </row>
    <row r="8" ht="14.65">
      <c r="A8" s="26" t="s">
        <v>17</v>
      </c>
      <c r="B8" s="24">
        <f>B7/SQRT(3)</f>
        <v>1.7638342073763953e-003</v>
      </c>
      <c r="C8" s="15"/>
      <c r="D8" s="13">
        <f>D7/SQRT(3)</f>
        <v>5.9254629448770649e-003</v>
      </c>
      <c r="E8" s="15"/>
    </row>
    <row r="10" ht="14.25">
      <c r="B10">
        <f>((B3/(C3)^2)+(B4/(C4)^2)+(B5/(C5)^2))/((1/C3^2)+(1/C4^2)+(1/C5^2))</f>
        <v>0.24959417617111146</v>
      </c>
      <c r="C10">
        <f>SQRT(1/((1/C3^2)+(1/C4^2)+(1/C5^2)))</f>
        <v>2.4023430034058289e-002</v>
      </c>
      <c r="D10">
        <f>((D3/(E3)^2)+(D4/(E4)^2)+(D5/(E5)^2))/((1/E3^2)+(1/E4^2)+(1/E5^2))</f>
        <v>0.75677401789187093</v>
      </c>
      <c r="E10">
        <f>SQRT(1/((1/E3^2)+(1/E4^2)+(1/E5^2)))</f>
        <v>2.2786940380104245e-002</v>
      </c>
    </row>
  </sheetData>
  <mergeCells count="2">
    <mergeCell ref="B1:C1"/>
    <mergeCell ref="D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3">
    <outlinePr applyStyles="0" summaryBelow="1" summaryRight="1" showOutlineSymbols="1"/>
    <pageSetUpPr autoPageBreaks="1" fitToPage="0"/>
  </sheetPr>
  <sheetViews>
    <sheetView zoomScale="100" workbookViewId="0">
      <selection activeCell="G13" activeCellId="0" sqref="G13"/>
    </sheetView>
  </sheetViews>
  <sheetFormatPr defaultRowHeight="14.25"/>
  <sheetData>
    <row r="1" ht="14.65">
      <c r="A1" s="16"/>
      <c r="B1" s="17" t="s">
        <v>18</v>
      </c>
      <c r="C1" s="19"/>
      <c r="D1" s="19"/>
      <c r="E1" s="18"/>
      <c r="F1" s="27" t="s">
        <v>19</v>
      </c>
      <c r="G1" s="6" t="s">
        <v>20</v>
      </c>
    </row>
    <row r="2" ht="14.65">
      <c r="A2" s="20"/>
      <c r="B2" s="28" t="s">
        <v>21</v>
      </c>
      <c r="C2" s="29" t="s">
        <v>22</v>
      </c>
      <c r="D2" s="29" t="s">
        <v>23</v>
      </c>
      <c r="E2" s="30" t="s">
        <v>24</v>
      </c>
      <c r="F2" s="14">
        <v>10</v>
      </c>
      <c r="G2" s="31">
        <v>1</v>
      </c>
    </row>
    <row r="3">
      <c r="A3" s="20">
        <v>1</v>
      </c>
      <c r="B3" s="20">
        <v>0.26400000000000001</v>
      </c>
      <c r="C3">
        <v>2.e-003</v>
      </c>
      <c r="D3">
        <v>0.17599999999999999</v>
      </c>
      <c r="E3" s="11">
        <v>2.e-003</v>
      </c>
    </row>
    <row r="4">
      <c r="A4" s="20">
        <v>2</v>
      </c>
      <c r="B4" s="20">
        <v>0.25700000000000001</v>
      </c>
      <c r="C4">
        <v>2.e-003</v>
      </c>
      <c r="D4">
        <v>0.16</v>
      </c>
      <c r="E4" s="11">
        <v>3.0000000000000001e-003</v>
      </c>
    </row>
    <row r="5">
      <c r="A5" s="20">
        <v>3</v>
      </c>
      <c r="B5" s="20">
        <v>0.26000000000000001</v>
      </c>
      <c r="C5">
        <v>3.0000000000000001e-003</v>
      </c>
      <c r="D5">
        <v>0.17499999999999999</v>
      </c>
      <c r="E5" s="11">
        <v>2.3e-003</v>
      </c>
    </row>
    <row r="6">
      <c r="A6" s="25" t="s">
        <v>15</v>
      </c>
      <c r="B6" s="20">
        <f>AVERAGE(B3:B5)</f>
        <v>0.26033333333333336</v>
      </c>
      <c r="C6">
        <f>SQRT(C3^2+C4^2+C5^2)/3</f>
        <v>1.3743685418725535e-003</v>
      </c>
      <c r="D6">
        <f>AVERAGE(D3:D5)</f>
        <v>0.17033333333333331</v>
      </c>
      <c r="E6" s="11">
        <f>AVERAGE(E3:E5)</f>
        <v>2.4333333333333334e-003</v>
      </c>
    </row>
    <row r="7">
      <c r="A7" s="25" t="s">
        <v>16</v>
      </c>
      <c r="B7" s="20">
        <f>_xlfn.STDEV.S(B3:B5)</f>
        <v>3.5118845842842493e-003</v>
      </c>
      <c r="D7">
        <f>_xlfn.STDEV.S(D3:D5)</f>
        <v>8.9628864398324931e-003</v>
      </c>
      <c r="E7" s="11"/>
    </row>
    <row r="8" ht="14.65">
      <c r="A8" s="26" t="s">
        <v>17</v>
      </c>
      <c r="B8" s="24">
        <f>B7/SQRT(3)</f>
        <v>2.0275875100994084e-003</v>
      </c>
      <c r="C8" s="13"/>
      <c r="D8" s="13">
        <f>D7/SQRT(3)</f>
        <v>5.1747248987533368e-003</v>
      </c>
      <c r="E8" s="15"/>
    </row>
    <row r="10" ht="14.25">
      <c r="B10">
        <f>((B3/(C3)^2)+(B4/(C4)^2)+(B5/(C5)^2))/((1/C3^2)+(1/C4^2)+(1/C5^2))</f>
        <v>0.26040909090909087</v>
      </c>
      <c r="C10">
        <f>SQRT(1/((1/C3^2)+(1/C4^2)+(1/C5^2)))</f>
        <v>1.2792042981336627e-003</v>
      </c>
      <c r="D10">
        <f>((D3/(E3)^2)+(D4/(E4)^2)+(D5/(E5)^2))/((1/E3^2)+(1/E4^2)+(1/E5^2))</f>
        <v>0.17242493080080176</v>
      </c>
      <c r="E10">
        <f>SQRT(1/((1/E3^2)+(1/E4^2)+(1/E5^2)))</f>
        <v>1.3482195315735518e-003</v>
      </c>
    </row>
  </sheetData>
  <mergeCells count="1">
    <mergeCell ref="B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4">
    <outlinePr applyStyles="0" summaryBelow="1" summaryRight="1" showOutlineSymbols="1"/>
    <pageSetUpPr autoPageBreaks="1" fitToPage="0"/>
  </sheetPr>
  <sheetViews>
    <sheetView zoomScale="100" workbookViewId="0">
      <selection activeCell="I14" activeCellId="0" sqref="I14"/>
    </sheetView>
  </sheetViews>
  <sheetFormatPr defaultRowHeight="14.25"/>
  <cols>
    <col bestFit="1" customWidth="1" min="1" max="1" width="7.3984375"/>
    <col bestFit="1" customWidth="1" min="2" max="2" width="8.796875"/>
    <col bestFit="1" customWidth="1" min="3" max="3" width="13.3984375"/>
    <col bestFit="1" customWidth="1" min="4" max="5" width="17.59765625"/>
    <col bestFit="1" customWidth="1" min="6" max="6" width="16.33203125"/>
    <col bestFit="1" customWidth="1" min="7" max="7" width="11.6640625"/>
    <col bestFit="1" customWidth="1" min="9" max="9" width="17"/>
  </cols>
  <sheetData>
    <row r="1" ht="14.65">
      <c r="B1" s="23" t="s">
        <v>25</v>
      </c>
      <c r="C1" s="23" t="s">
        <v>26</v>
      </c>
      <c r="D1" s="23" t="s">
        <v>27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</row>
    <row r="2">
      <c r="A2" s="23" t="s">
        <v>33</v>
      </c>
      <c r="B2" s="32">
        <v>0.27538000000000001</v>
      </c>
      <c r="C2" s="1">
        <v>-0.26000000000000001</v>
      </c>
      <c r="D2" s="1">
        <f>0.05/SQRT(3)</f>
        <v>2.8867513459481291e-002</v>
      </c>
      <c r="E2" s="1">
        <v>0.56000000000000005</v>
      </c>
      <c r="F2" s="1">
        <v>-0.54000000000000004</v>
      </c>
      <c r="G2" s="33">
        <f>0.27538*(F2-E2)</f>
        <v>-0.30291800000000002</v>
      </c>
      <c r="H2" s="1">
        <f t="shared" ref="H2:H3" si="0">0.5*B2*(F2-E2)^2</f>
        <v>0.16660490000000003</v>
      </c>
      <c r="I2" s="34">
        <f t="shared" ref="I2:I3" si="1">-(B2*F2)/(B2*E2)</f>
        <v>0.9642857142857143</v>
      </c>
    </row>
    <row r="3" ht="14.65">
      <c r="A3" s="23" t="s">
        <v>34</v>
      </c>
      <c r="B3" s="35">
        <v>0.25686999999999999</v>
      </c>
      <c r="C3" s="13">
        <v>-0.28999999999999998</v>
      </c>
      <c r="D3" s="13">
        <f>0.07/SQRT(3)</f>
        <v>4.0414518843273808e-002</v>
      </c>
      <c r="E3" s="13">
        <v>0.64000000000000001</v>
      </c>
      <c r="F3" s="13">
        <v>-0.62</v>
      </c>
      <c r="G3" s="14">
        <f>0.25687*(F3-E3)</f>
        <v>-0.32365620000000001</v>
      </c>
      <c r="H3" s="13">
        <f t="shared" si="0"/>
        <v>0.20390340600000001</v>
      </c>
      <c r="I3" s="15">
        <f t="shared" si="1"/>
        <v>0.96875000000000011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0" activeCellId="0" sqref="H10"/>
    </sheetView>
  </sheetViews>
  <sheetFormatPr defaultRowHeight="14.25"/>
  <cols>
    <col bestFit="1" customWidth="1" min="2" max="2" width="9"/>
    <col bestFit="1" customWidth="1" min="3" max="4" width="16.33203125"/>
    <col bestFit="1" customWidth="1" min="5" max="5" width="9"/>
    <col bestFit="1" customWidth="1" min="6" max="6" width="17.59765625"/>
    <col bestFit="1" customWidth="1" min="7" max="7" width="16.33203125"/>
    <col bestFit="1" customWidth="1" min="8" max="8" width="27.1328125"/>
    <col bestFit="1" customWidth="1" min="9" max="9" width="25.9296875"/>
    <col bestFit="1" customWidth="1" min="10" max="10" width="14.1328125"/>
    <col bestFit="1" customWidth="1" min="11" max="11" width="13.265625"/>
  </cols>
  <sheetData>
    <row r="1" ht="14.65">
      <c r="B1" s="36" t="s">
        <v>35</v>
      </c>
      <c r="C1" s="37"/>
      <c r="D1" s="38"/>
      <c r="E1" s="39" t="s">
        <v>36</v>
      </c>
      <c r="F1" s="39"/>
      <c r="G1" s="39"/>
    </row>
    <row r="2" ht="14.65">
      <c r="B2" s="21" t="s">
        <v>25</v>
      </c>
      <c r="C2" s="23" t="s">
        <v>28</v>
      </c>
      <c r="D2" s="22" t="s">
        <v>29</v>
      </c>
      <c r="E2" s="23" t="s">
        <v>25</v>
      </c>
      <c r="F2" s="40" t="s">
        <v>28</v>
      </c>
      <c r="G2" s="23" t="s">
        <v>29</v>
      </c>
      <c r="H2" s="41" t="s">
        <v>37</v>
      </c>
      <c r="I2" s="42" t="s">
        <v>38</v>
      </c>
      <c r="J2" s="41" t="s">
        <v>39</v>
      </c>
      <c r="K2" s="42" t="s">
        <v>40</v>
      </c>
    </row>
    <row r="3">
      <c r="A3" s="43" t="s">
        <v>33</v>
      </c>
      <c r="B3" s="32">
        <v>0.25634000000000001</v>
      </c>
      <c r="C3" s="1">
        <v>0.53500000000000003</v>
      </c>
      <c r="D3" s="1">
        <v>-2.e-003</v>
      </c>
      <c r="E3" s="32">
        <v>0.27538000000000001</v>
      </c>
      <c r="F3" s="1">
        <v>0</v>
      </c>
      <c r="G3" s="1">
        <v>0.45800000000000002</v>
      </c>
      <c r="H3" s="16">
        <f t="shared" ref="H3:H8" si="2">B3*C3</f>
        <v>0.13714190000000001</v>
      </c>
      <c r="I3" s="34">
        <f t="shared" ref="I3:I8" si="3">B3*D3+E3*G3</f>
        <v>0.12561136000000003</v>
      </c>
      <c r="J3" s="16">
        <f t="shared" ref="J3:J8" si="4">0.5*B3*C3^2</f>
        <v>3.6685458250000004e-002</v>
      </c>
      <c r="K3" s="34">
        <f t="shared" ref="K3:K8" si="5">0.5*(B3*D3^2+E3*G3^2)</f>
        <v>2.8882917840000001e-002</v>
      </c>
    </row>
    <row r="4">
      <c r="A4" s="44"/>
      <c r="B4" s="45">
        <v>0.25634000000000001</v>
      </c>
      <c r="C4" s="46">
        <v>0.53000000000000003</v>
      </c>
      <c r="D4">
        <v>-0.22600000000000001</v>
      </c>
      <c r="E4" s="45">
        <v>0.78227999999999998</v>
      </c>
      <c r="F4">
        <v>0</v>
      </c>
      <c r="G4">
        <v>0.24299999999999999</v>
      </c>
      <c r="H4" s="20">
        <f t="shared" si="2"/>
        <v>0.13586020000000001</v>
      </c>
      <c r="I4" s="11">
        <f t="shared" si="3"/>
        <v>0.13216119999999998</v>
      </c>
      <c r="J4" s="20">
        <f t="shared" si="4"/>
        <v>3.6002953000000004e-002</v>
      </c>
      <c r="K4" s="11">
        <f t="shared" si="5"/>
        <v>2.9642836780000001e-002</v>
      </c>
    </row>
    <row r="5" ht="14.65">
      <c r="A5" s="47"/>
      <c r="B5" s="24">
        <v>0.76324000000000003</v>
      </c>
      <c r="C5" s="13">
        <v>0.36799999999999999</v>
      </c>
      <c r="D5" s="13">
        <v>0.158</v>
      </c>
      <c r="E5" s="35">
        <v>0.27538000000000001</v>
      </c>
      <c r="F5" s="13">
        <v>0</v>
      </c>
      <c r="G5" s="13">
        <v>0.48499999999999999</v>
      </c>
      <c r="H5" s="24">
        <f t="shared" si="2"/>
        <v>0.28087232000000001</v>
      </c>
      <c r="I5" s="15">
        <f t="shared" si="3"/>
        <v>0.25415122000000001</v>
      </c>
      <c r="J5" s="24">
        <f t="shared" si="4"/>
        <v>5.1680506879999998e-002</v>
      </c>
      <c r="K5" s="15">
        <f t="shared" si="5"/>
        <v>4.1914891930000003e-002</v>
      </c>
    </row>
    <row r="6">
      <c r="A6" s="48" t="s">
        <v>41</v>
      </c>
      <c r="B6" s="32">
        <v>0.25634000000000001</v>
      </c>
      <c r="C6" s="1">
        <v>0.57799999999999996</v>
      </c>
      <c r="D6" s="34">
        <v>0.253</v>
      </c>
      <c r="E6" s="1">
        <v>0.27538000000000001</v>
      </c>
      <c r="F6">
        <v>0</v>
      </c>
      <c r="G6" s="1">
        <v>0.253</v>
      </c>
      <c r="H6" s="20">
        <f t="shared" si="2"/>
        <v>0.14816451999999999</v>
      </c>
      <c r="I6" s="11">
        <f t="shared" si="3"/>
        <v>0.13452516</v>
      </c>
      <c r="J6" s="20">
        <f t="shared" si="4"/>
        <v>4.2819546279999995e-002</v>
      </c>
      <c r="K6" s="11">
        <f t="shared" si="5"/>
        <v>1.7017432739999998e-002</v>
      </c>
    </row>
    <row r="7">
      <c r="A7" s="49"/>
      <c r="B7" s="45">
        <v>0.25634000000000001</v>
      </c>
      <c r="C7">
        <v>0.57199999999999995</v>
      </c>
      <c r="D7" s="11">
        <v>0.14000000000000001</v>
      </c>
      <c r="E7" s="45">
        <v>0.78227999999999998</v>
      </c>
      <c r="F7">
        <v>0</v>
      </c>
      <c r="G7">
        <v>0.14000000000000001</v>
      </c>
      <c r="H7" s="20">
        <f t="shared" si="2"/>
        <v>0.14662648</v>
      </c>
      <c r="I7" s="11">
        <f t="shared" si="3"/>
        <v>0.1454068</v>
      </c>
      <c r="J7" s="20">
        <f t="shared" si="4"/>
        <v>4.1935173279999995e-002</v>
      </c>
      <c r="K7" s="11">
        <f t="shared" si="5"/>
        <v>1.0178476000000002e-002</v>
      </c>
    </row>
    <row r="8" ht="14.65">
      <c r="A8" s="50"/>
      <c r="B8" s="24">
        <v>0.76324000000000003</v>
      </c>
      <c r="C8" s="13">
        <v>0.47799999999999998</v>
      </c>
      <c r="D8" s="15">
        <v>0.34399999999999997</v>
      </c>
      <c r="E8" s="35">
        <v>0.27538000000000001</v>
      </c>
      <c r="F8" s="13">
        <v>0</v>
      </c>
      <c r="G8" s="13">
        <v>0.34399999999999997</v>
      </c>
      <c r="H8" s="24">
        <f t="shared" si="2"/>
        <v>0.36482872</v>
      </c>
      <c r="I8" s="15">
        <f t="shared" si="3"/>
        <v>0.35728527999999998</v>
      </c>
      <c r="J8" s="24">
        <f t="shared" si="4"/>
        <v>8.7194064079999994e-002</v>
      </c>
      <c r="K8" s="15">
        <f t="shared" si="5"/>
        <v>6.1453068159999999e-002</v>
      </c>
    </row>
    <row r="9">
      <c r="A9" s="51"/>
    </row>
  </sheetData>
  <mergeCells count="4">
    <mergeCell ref="E1:G1"/>
    <mergeCell ref="A3:A5"/>
    <mergeCell ref="A6:A8"/>
    <mergeCell ref="B1:D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7" activeCellId="0" sqref="D7"/>
    </sheetView>
  </sheetViews>
  <sheetFormatPr defaultRowHeight="14.25"/>
  <sheetData>
    <row r="1">
      <c r="A1" s="17" t="s">
        <v>42</v>
      </c>
      <c r="B1" s="18"/>
      <c r="C1" s="19" t="s">
        <v>43</v>
      </c>
      <c r="D1" s="18"/>
    </row>
    <row r="2">
      <c r="A2" s="21" t="s">
        <v>25</v>
      </c>
      <c r="B2" s="22" t="s">
        <v>44</v>
      </c>
      <c r="C2" s="23" t="s">
        <v>25</v>
      </c>
      <c r="D2" s="22" t="s">
        <v>44</v>
      </c>
    </row>
    <row r="3" ht="14.65">
      <c r="A3" s="24">
        <v>0.29006999999999999</v>
      </c>
      <c r="B3" s="15">
        <v>0.68000000000000005</v>
      </c>
      <c r="C3" s="13">
        <f>0.29007+0.18594</f>
        <v>0.47600999999999999</v>
      </c>
      <c r="D3" s="15">
        <v>0.93999999999999995</v>
      </c>
    </row>
  </sheetData>
  <mergeCells count="2">
    <mergeCell ref="A1:B1"/>
    <mergeCell ref="C1:D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oglio5">
    <outlinePr applyStyles="0" summaryBelow="1" summaryRight="1" showOutlineSymbols="1"/>
    <pageSetUpPr autoPageBreaks="1" fitToPage="0"/>
  </sheetPr>
  <sheetViews>
    <sheetView zoomScale="100" workbookViewId="0">
      <selection activeCell="H17" activeCellId="0" sqref="H17"/>
    </sheetView>
  </sheetViews>
  <sheetFormatPr defaultRowHeight="14.25"/>
  <cols>
    <col customWidth="1" min="1" max="1" width="18.46484375"/>
    <col bestFit="1" customWidth="1" min="2" max="3" width="16.9296875"/>
  </cols>
  <sheetData>
    <row r="1">
      <c r="B1" s="7" t="s">
        <v>45</v>
      </c>
    </row>
    <row r="2">
      <c r="B2" s="52">
        <v>1.478</v>
      </c>
    </row>
    <row r="3">
      <c r="B3" s="52">
        <v>1.5192000000000001</v>
      </c>
    </row>
    <row r="4">
      <c r="B4" s="52">
        <v>1.5113000000000001</v>
      </c>
    </row>
    <row r="5">
      <c r="B5" s="52">
        <v>1.5176000000000001</v>
      </c>
    </row>
    <row r="6" ht="14.65">
      <c r="B6" s="52">
        <v>1.5246999999999999</v>
      </c>
    </row>
    <row r="7">
      <c r="A7" s="53" t="s">
        <v>15</v>
      </c>
      <c r="B7" s="54">
        <f>AVERAGE(B2:B6)</f>
        <v>1.5101600000000002</v>
      </c>
    </row>
    <row r="8" ht="14.65">
      <c r="A8" s="55" t="s">
        <v>46</v>
      </c>
      <c r="B8" s="56">
        <f>_xlfn.STDEV.S(B2:B6)/SQRT(COUNT(B2:B6))</f>
        <v>8.3188100110532705e-003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3BC1E459-C469-48B1-9340-5AACBCCBA892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revision>1</cp:revision>
  <dcterms:created xsi:type="dcterms:W3CDTF">2026-04-21T08:47:18Z</dcterms:created>
  <dcterms:modified xsi:type="dcterms:W3CDTF">2026-06-04T11:04:46Z</dcterms:modified>
</cp:coreProperties>
</file>