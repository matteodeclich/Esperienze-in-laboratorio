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Urti/"/>
    </mc:Choice>
  </mc:AlternateContent>
  <xr:revisionPtr revIDLastSave="2" documentId="11_A17223F8177C2D7C57AFC4E2DF361A09DF181B28" xr6:coauthVersionLast="47" xr6:coauthVersionMax="47" xr10:uidLastSave="{79FF0517-3DFD-4E19-880F-9863DF6286A5}"/>
  <bookViews>
    <workbookView xWindow="1688" yWindow="2670" windowWidth="16200" windowHeight="9307" firstSheet="3" activeTab="5" xr2:uid="{00000000-000D-0000-FFFF-FFFF00000000}"/>
  </bookViews>
  <sheets>
    <sheet name="Misura masse" sheetId="1" r:id="rId1"/>
    <sheet name="Carrello" sheetId="2" r:id="rId2"/>
    <sheet name="Piano inclinato" sheetId="3" r:id="rId3"/>
    <sheet name="Urto magnete e molla" sheetId="4" r:id="rId4"/>
    <sheet name="Urti tra carrelli" sheetId="5" r:id="rId5"/>
    <sheet name="Attrito statico" sheetId="6" r:id="rId6"/>
    <sheet name="Attrito dinamic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7" i="7"/>
  <c r="C3" i="6"/>
  <c r="D3" i="4"/>
  <c r="D7" i="3"/>
  <c r="B7" i="3"/>
  <c r="D6" i="3"/>
  <c r="B6" i="3"/>
  <c r="D7" i="2"/>
  <c r="B7" i="2"/>
  <c r="D6" i="2"/>
  <c r="B6" i="2"/>
  <c r="F4" i="1"/>
  <c r="F3" i="1"/>
  <c r="F2" i="1"/>
</calcChain>
</file>

<file path=xl/sharedStrings.xml><?xml version="1.0" encoding="utf-8"?>
<sst xmlns="http://schemas.openxmlformats.org/spreadsheetml/2006/main" count="59" uniqueCount="42">
  <si>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</si>
  <si>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</si>
  <si>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</si>
  <si>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</si>
  <si>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</si>
  <si>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</si>
  <si>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</si>
  <si>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Errore sulla massa (kg)</t>
  </si>
  <si>
    <t xml:space="preserve">Massa </t>
  </si>
  <si>
    <t>Massa con magnete</t>
  </si>
  <si>
    <t>Massa con molla</t>
  </si>
  <si>
    <t>Interpolazione carrello</t>
  </si>
  <si>
    <t>Interpolazione carrello+masse</t>
  </si>
  <si>
    <t>m (kg)</t>
  </si>
  <si>
    <t>sm (kg)</t>
  </si>
  <si>
    <t>x_best</t>
  </si>
  <si>
    <t>sx_best</t>
  </si>
  <si>
    <t>Interpolazione piano inclinato</t>
  </si>
  <si>
    <t>Angolo</t>
  </si>
  <si>
    <t>incertezza</t>
  </si>
  <si>
    <t>m</t>
  </si>
  <si>
    <t>sm</t>
  </si>
  <si>
    <t>θ</t>
  </si>
  <si>
    <t>sθ</t>
  </si>
  <si>
    <t>Massa (kg)</t>
  </si>
  <si>
    <t>Area (N*s)</t>
  </si>
  <si>
    <t>Incertezza (N*s) (semidisp.)</t>
  </si>
  <si>
    <t>Velocità iniziale (m/s)</t>
  </si>
  <si>
    <t>Incertezza (dev.standard)</t>
  </si>
  <si>
    <t>Velocità finale (m/s)</t>
  </si>
  <si>
    <t>Magnete</t>
  </si>
  <si>
    <t>Molla</t>
  </si>
  <si>
    <t>Carrello rosso</t>
  </si>
  <si>
    <t>Carrello blu</t>
  </si>
  <si>
    <t>sv (m/s)</t>
  </si>
  <si>
    <t>Velcro</t>
  </si>
  <si>
    <t>1 libro</t>
  </si>
  <si>
    <t>2 libri</t>
  </si>
  <si>
    <t>F (N)</t>
  </si>
  <si>
    <t>Coefficiente angolare</t>
  </si>
  <si>
    <t>Media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</si>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</sst>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1" x14ac:knownFonts="1">
    <font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theme="1"/>
      </top>
      <bottom style="medium">
        <color theme="1"/>
      </bottom>
      <diagonal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0" borderId="7" xfId="0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0" fontId="0" fillId="5" borderId="11" xfId="0" applyFill="1" applyBorder="1"/>
    <xf numFmtId="164" fontId="0" fillId="0" borderId="12" xfId="0" applyNumberFormat="1" applyBorder="1"/>
    <xf numFmtId="164" fontId="0" fillId="0" borderId="0" xfId="0" applyNumberFormat="1"/>
    <xf numFmtId="0" fontId="0" fillId="0" borderId="13" xfId="0" applyBorder="1"/>
    <xf numFmtId="0" fontId="0" fillId="5" borderId="14" xfId="0" applyFill="1" applyBorder="1"/>
    <xf numFmtId="0" fontId="0" fillId="0" borderId="15" xfId="0" applyBorder="1"/>
    <xf numFmtId="164" fontId="0" fillId="0" borderId="16" xfId="0" applyNumberForma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1" xfId="0" applyBorder="1"/>
    <xf numFmtId="0" fontId="0" fillId="4" borderId="15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7" xfId="0" applyFill="1" applyBorder="1"/>
    <xf numFmtId="0" fontId="0" fillId="0" borderId="6" xfId="0" applyBorder="1"/>
    <xf numFmtId="165" fontId="0" fillId="0" borderId="19" xfId="0" applyNumberFormat="1" applyBorder="1"/>
    <xf numFmtId="0" fontId="0" fillId="0" borderId="20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165" fontId="0" fillId="0" borderId="24" xfId="0" applyNumberFormat="1" applyBorder="1"/>
    <xf numFmtId="0" fontId="0" fillId="0" borderId="25" xfId="0" applyBorder="1"/>
    <xf numFmtId="0" fontId="0" fillId="0" borderId="24" xfId="0" applyBorder="1"/>
    <xf numFmtId="0" fontId="0" fillId="7" borderId="26" xfId="0" applyFill="1" applyBorder="1"/>
    <xf numFmtId="0" fontId="0" fillId="7" borderId="14" xfId="0" applyFill="1" applyBorder="1"/>
    <xf numFmtId="0" fontId="0" fillId="6" borderId="18" xfId="0" applyFill="1" applyBorder="1"/>
    <xf numFmtId="0" fontId="0" fillId="6" borderId="30" xfId="0" applyFill="1" applyBorder="1"/>
    <xf numFmtId="0" fontId="0" fillId="4" borderId="18" xfId="0" applyFill="1" applyBorder="1"/>
    <xf numFmtId="0" fontId="0" fillId="4" borderId="1" xfId="0" applyFill="1" applyBorder="1"/>
    <xf numFmtId="0" fontId="0" fillId="4" borderId="30" xfId="0" applyFill="1" applyBorder="1"/>
    <xf numFmtId="166" fontId="0" fillId="0" borderId="31" xfId="0" applyNumberFormat="1" applyBorder="1"/>
    <xf numFmtId="166" fontId="0" fillId="0" borderId="10" xfId="0" applyNumberFormat="1" applyBorder="1"/>
    <xf numFmtId="0" fontId="0" fillId="0" borderId="32" xfId="0" applyBorder="1"/>
    <xf numFmtId="165" fontId="0" fillId="0" borderId="0" xfId="0" applyNumberFormat="1"/>
    <xf numFmtId="165" fontId="0" fillId="0" borderId="32" xfId="0" applyNumberFormat="1" applyBorder="1"/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 wrapText="1"/>
    </xf>
    <xf numFmtId="0" fontId="0" fillId="0" borderId="33" xfId="0" applyBorder="1"/>
    <xf numFmtId="0" fontId="0" fillId="0" borderId="34" xfId="0" applyBorder="1"/>
    <xf numFmtId="164" fontId="0" fillId="0" borderId="35" xfId="0" applyNumberFormat="1" applyBorder="1"/>
    <xf numFmtId="0" fontId="0" fillId="0" borderId="36" xfId="0" applyBorder="1"/>
    <xf numFmtId="165" fontId="0" fillId="0" borderId="36" xfId="0" applyNumberFormat="1" applyBorder="1"/>
    <xf numFmtId="0" fontId="0" fillId="0" borderId="37" xfId="0" applyBorder="1"/>
    <xf numFmtId="0" fontId="0" fillId="8" borderId="21" xfId="0" applyFill="1" applyBorder="1"/>
    <xf numFmtId="0" fontId="0" fillId="9" borderId="0" xfId="0" applyFill="1"/>
    <xf numFmtId="0" fontId="0" fillId="8" borderId="32" xfId="0" applyFill="1" applyBorder="1"/>
    <xf numFmtId="164" fontId="0" fillId="0" borderId="7" xfId="0" applyNumberFormat="1" applyBorder="1"/>
    <xf numFmtId="0" fontId="0" fillId="0" borderId="8" xfId="0" applyBorder="1"/>
    <xf numFmtId="165" fontId="0" fillId="0" borderId="17" xfId="0" applyNumberFormat="1" applyBorder="1"/>
    <xf numFmtId="0" fontId="0" fillId="0" borderId="0" xfId="0" applyAlignment="1">
      <alignment vertical="center"/>
    </xf>
    <xf numFmtId="0" fontId="0" fillId="0" borderId="38" xfId="0" applyBorder="1"/>
    <xf numFmtId="0" fontId="0" fillId="0" borderId="10" xfId="0" applyBorder="1"/>
    <xf numFmtId="0" fontId="0" fillId="0" borderId="31" xfId="0" applyBorder="1"/>
    <xf numFmtId="0" fontId="0" fillId="10" borderId="39" xfId="0" applyFill="1" applyBorder="1"/>
    <xf numFmtId="0" fontId="0" fillId="0" borderId="40" xfId="0" applyBorder="1"/>
    <xf numFmtId="0" fontId="0" fillId="8" borderId="39" xfId="0" applyFill="1" applyBorder="1"/>
    <xf numFmtId="0" fontId="0" fillId="0" borderId="39" xfId="0" applyBorder="1"/>
    <xf numFmtId="0" fontId="0" fillId="8" borderId="41" xfId="0" applyFill="1" applyBorder="1"/>
    <xf numFmtId="0" fontId="0" fillId="0" borderId="41" xfId="0" applyBorder="1"/>
    <xf numFmtId="0" fontId="0" fillId="10" borderId="18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18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Q16"/>
  <sheetViews>
    <sheetView topLeftCell="C1" workbookViewId="0">
      <selection activeCell="B3" sqref="B3"/>
    </sheetView>
  </sheetViews>
  <sheetFormatPr defaultRowHeight="14.25" x14ac:dyDescent="0.45"/>
  <cols>
    <col min="1" max="1" width="16.86328125" bestFit="1" customWidth="1"/>
    <col min="2" max="2" width="15.46484375" bestFit="1" customWidth="1"/>
    <col min="3" max="3" width="13.9296875" bestFit="1" customWidth="1"/>
    <col min="4" max="5" width="11.53125" bestFit="1" customWidth="1"/>
    <col min="6" max="6" width="14.9296875" bestFit="1" customWidth="1"/>
    <col min="7" max="8" width="16.06640625" bestFit="1" customWidth="1"/>
    <col min="9" max="9" width="19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spans="1:17" x14ac:dyDescent="0.4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5.0000000000000001E-4</v>
      </c>
    </row>
    <row r="3" spans="1:17" x14ac:dyDescent="0.45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spans="1:17" x14ac:dyDescent="0.4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7" spans="1:17" x14ac:dyDescent="0.45">
      <c r="F7" s="14"/>
    </row>
    <row r="15" spans="1:17" x14ac:dyDescent="0.45">
      <c r="O15" s="14"/>
    </row>
    <row r="16" spans="1:17" x14ac:dyDescent="0.45">
      <c r="O16" s="14"/>
      <c r="P16" s="14"/>
      <c r="Q16" s="14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E7"/>
  <sheetViews>
    <sheetView workbookViewId="0">
      <selection activeCell="C23" sqref="C23"/>
    </sheetView>
  </sheetViews>
  <sheetFormatPr defaultRowHeight="14.25" x14ac:dyDescent="0.45"/>
  <cols>
    <col min="2" max="2" width="11.53125" customWidth="1"/>
    <col min="3" max="3" width="12" customWidth="1"/>
    <col min="4" max="4" width="12.73046875" customWidth="1"/>
    <col min="5" max="5" width="13.53125" customWidth="1"/>
  </cols>
  <sheetData>
    <row r="1" spans="1:5" x14ac:dyDescent="0.45">
      <c r="A1" s="21"/>
      <c r="B1" s="76" t="s">
        <v>11</v>
      </c>
      <c r="C1" s="77"/>
      <c r="D1" s="78" t="s">
        <v>12</v>
      </c>
      <c r="E1" s="79"/>
    </row>
    <row r="2" spans="1:5" x14ac:dyDescent="0.45">
      <c r="A2" s="22"/>
      <c r="B2" s="23" t="s">
        <v>13</v>
      </c>
      <c r="C2" s="24" t="s">
        <v>14</v>
      </c>
      <c r="D2" s="25" t="s">
        <v>13</v>
      </c>
      <c r="E2" s="26" t="s">
        <v>14</v>
      </c>
    </row>
    <row r="3" spans="1:5" x14ac:dyDescent="0.45">
      <c r="A3" s="27">
        <v>1</v>
      </c>
      <c r="B3" s="8">
        <v>0.249</v>
      </c>
      <c r="C3" s="28">
        <v>0.04</v>
      </c>
      <c r="D3" s="29">
        <v>0.76900000000000002</v>
      </c>
      <c r="E3" s="30">
        <v>4.2999999999999997E-2</v>
      </c>
    </row>
    <row r="4" spans="1:5" x14ac:dyDescent="0.45">
      <c r="A4" s="31">
        <v>2</v>
      </c>
      <c r="B4" s="32">
        <v>0.253</v>
      </c>
      <c r="C4" s="33">
        <v>4.2999999999999997E-2</v>
      </c>
      <c r="D4" s="34">
        <v>0.755</v>
      </c>
      <c r="E4" s="15">
        <v>3.7999999999999999E-2</v>
      </c>
    </row>
    <row r="5" spans="1:5" x14ac:dyDescent="0.45">
      <c r="A5" s="31">
        <v>3</v>
      </c>
      <c r="B5" s="32">
        <v>0.247</v>
      </c>
      <c r="C5" s="35">
        <v>4.2000000000000003E-2</v>
      </c>
      <c r="D5" s="34">
        <v>0.749</v>
      </c>
      <c r="E5" s="15">
        <v>3.7999999999999999E-2</v>
      </c>
    </row>
    <row r="6" spans="1:5" x14ac:dyDescent="0.45">
      <c r="A6" s="36" t="s">
        <v>15</v>
      </c>
      <c r="B6" s="80">
        <f>((B3/(C3)^2)+(B4/(C4)^2)+(B5/(C5)^2))/((1/C3^2)+(1/C4^2)+(1/C5^2))</f>
        <v>0.24959417617111146</v>
      </c>
      <c r="C6" s="81"/>
      <c r="D6" s="82">
        <f>((D3/(E3)^2)+(D4/(E4)^2)+(D5/(E5)^2))/((1/E3^2)+(1/E4^2)+(1/E5^2))</f>
        <v>0.75677401789187093</v>
      </c>
      <c r="E6" s="83"/>
    </row>
    <row r="7" spans="1:5" x14ac:dyDescent="0.45">
      <c r="A7" s="37" t="s">
        <v>16</v>
      </c>
      <c r="B7" s="84">
        <f>SQRT(1/((1/C3^2)+(1/C4^2)+(1/C5^2)))</f>
        <v>2.4023430034058289E-2</v>
      </c>
      <c r="C7" s="85"/>
      <c r="D7" s="86">
        <f>SQRT(1/((1/E3^2)+(1/E4^2)+(1/E5^2)))</f>
        <v>2.2786940380104245E-2</v>
      </c>
      <c r="E7" s="87"/>
    </row>
  </sheetData>
  <mergeCells count="6">
    <mergeCell ref="B1:C1"/>
    <mergeCell ref="D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G7"/>
  <sheetViews>
    <sheetView workbookViewId="0">
      <selection activeCell="G13" sqref="G13"/>
    </sheetView>
  </sheetViews>
  <sheetFormatPr defaultRowHeight="14.25" x14ac:dyDescent="0.45"/>
  <sheetData>
    <row r="1" spans="1:7" x14ac:dyDescent="0.45">
      <c r="A1" s="21"/>
      <c r="B1" s="88" t="s">
        <v>17</v>
      </c>
      <c r="C1" s="89"/>
      <c r="D1" s="89"/>
      <c r="E1" s="90"/>
      <c r="F1" s="38" t="s">
        <v>18</v>
      </c>
      <c r="G1" s="39" t="s">
        <v>19</v>
      </c>
    </row>
    <row r="2" spans="1:7" x14ac:dyDescent="0.45">
      <c r="A2" s="22"/>
      <c r="B2" s="40" t="s">
        <v>20</v>
      </c>
      <c r="C2" s="41" t="s">
        <v>21</v>
      </c>
      <c r="D2" s="41" t="s">
        <v>22</v>
      </c>
      <c r="E2" s="42" t="s">
        <v>23</v>
      </c>
      <c r="F2" s="43">
        <v>10</v>
      </c>
      <c r="G2" s="44">
        <v>1</v>
      </c>
    </row>
    <row r="3" spans="1:7" x14ac:dyDescent="0.45">
      <c r="A3" s="27">
        <v>1</v>
      </c>
      <c r="B3">
        <v>0.26400000000000001</v>
      </c>
      <c r="C3">
        <v>2E-3</v>
      </c>
      <c r="D3">
        <v>0.17599999999999999</v>
      </c>
      <c r="E3" s="45">
        <v>2E-3</v>
      </c>
    </row>
    <row r="4" spans="1:7" x14ac:dyDescent="0.45">
      <c r="A4" s="31">
        <v>2</v>
      </c>
      <c r="B4">
        <v>0.25700000000000001</v>
      </c>
      <c r="C4">
        <v>2E-3</v>
      </c>
      <c r="D4" s="46">
        <v>0.16</v>
      </c>
      <c r="E4" s="45">
        <v>3.0000000000000001E-3</v>
      </c>
    </row>
    <row r="5" spans="1:7" x14ac:dyDescent="0.45">
      <c r="A5" s="31">
        <v>3</v>
      </c>
      <c r="B5" s="46">
        <v>0.26</v>
      </c>
      <c r="C5">
        <v>3.0000000000000001E-3</v>
      </c>
      <c r="D5">
        <v>0.17499999999999999</v>
      </c>
      <c r="E5" s="47">
        <v>2.3E-3</v>
      </c>
    </row>
    <row r="6" spans="1:7" x14ac:dyDescent="0.45">
      <c r="A6" s="36" t="s">
        <v>15</v>
      </c>
      <c r="B6" s="80">
        <f>((B3/(C3)^2)+(B4/(C4)^2)+(B5/(C5)^2))/((1/C3^2)+(1/C4^2)+(1/C5^2))</f>
        <v>0.26040909090909087</v>
      </c>
      <c r="C6" s="81"/>
      <c r="D6" s="82">
        <f>((D3/(E3)^2)+(D4/(E4)^2)+(D5/(E5)^2))/((1/E3^2)+(1/E4^2)+(1/E5^2))</f>
        <v>0.17242493080080176</v>
      </c>
      <c r="E6" s="83"/>
    </row>
    <row r="7" spans="1:7" x14ac:dyDescent="0.45">
      <c r="A7" s="36" t="s">
        <v>16</v>
      </c>
      <c r="B7" s="80">
        <f>SQRT(1/((1/C3^2)+(1/C4^2)+(1/C5^2)))</f>
        <v>1.2792042981336627E-3</v>
      </c>
      <c r="C7" s="81"/>
      <c r="D7" s="82">
        <f>SQRT(1/((1/E3^2)+(1/E4^2)+(1/E5^2)))</f>
        <v>1.3482195315735518E-3</v>
      </c>
      <c r="E7" s="83"/>
    </row>
  </sheetData>
  <mergeCells count="5">
    <mergeCell ref="B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/>
  <dimension ref="A1:H3"/>
  <sheetViews>
    <sheetView workbookViewId="0">
      <selection activeCell="I13" sqref="I13"/>
    </sheetView>
  </sheetViews>
  <sheetFormatPr defaultRowHeight="14.25" x14ac:dyDescent="0.45"/>
  <cols>
    <col min="1" max="1" width="7.3984375" bestFit="1" customWidth="1"/>
    <col min="2" max="2" width="9.53125" bestFit="1" customWidth="1"/>
    <col min="3" max="3" width="9.1328125" bestFit="1" customWidth="1"/>
    <col min="4" max="4" width="22.9296875" bestFit="1" customWidth="1"/>
    <col min="5" max="5" width="17.796875" bestFit="1" customWidth="1"/>
    <col min="6" max="6" width="15.06640625" customWidth="1"/>
    <col min="7" max="7" width="16.33203125" bestFit="1" customWidth="1"/>
    <col min="8" max="8" width="16" customWidth="1"/>
    <col min="9" max="9" width="17" bestFit="1" customWidth="1"/>
    <col min="11" max="11" width="17" bestFit="1" customWidth="1"/>
  </cols>
  <sheetData>
    <row r="1" spans="1:8" ht="28.5" x14ac:dyDescent="0.45">
      <c r="B1" s="48" t="s">
        <v>24</v>
      </c>
      <c r="C1" s="48" t="s">
        <v>25</v>
      </c>
      <c r="D1" s="49" t="s">
        <v>26</v>
      </c>
      <c r="E1" s="48" t="s">
        <v>27</v>
      </c>
      <c r="F1" s="50" t="s">
        <v>28</v>
      </c>
      <c r="G1" s="48" t="s">
        <v>29</v>
      </c>
      <c r="H1" s="50" t="s">
        <v>28</v>
      </c>
    </row>
    <row r="2" spans="1:8" x14ac:dyDescent="0.45">
      <c r="A2" s="48" t="s">
        <v>30</v>
      </c>
      <c r="B2" s="14">
        <v>0.27538000000000001</v>
      </c>
      <c r="C2" s="51">
        <v>-0.26100000000000001</v>
      </c>
      <c r="D2" s="51">
        <v>0.02</v>
      </c>
      <c r="E2" s="51">
        <v>0.55800000000000005</v>
      </c>
      <c r="F2" s="51">
        <v>8.0000000000000002E-3</v>
      </c>
      <c r="G2" s="51">
        <v>-0.54100000000000004</v>
      </c>
      <c r="H2" s="52">
        <v>7.0000000000000001E-3</v>
      </c>
    </row>
    <row r="3" spans="1:8" x14ac:dyDescent="0.45">
      <c r="A3" s="48" t="s">
        <v>31</v>
      </c>
      <c r="B3" s="53">
        <v>0.25686999999999999</v>
      </c>
      <c r="C3" s="54">
        <v>-0.28599999999999998</v>
      </c>
      <c r="D3" s="54">
        <f>0.04</f>
        <v>0.04</v>
      </c>
      <c r="E3" s="55">
        <v>0.64</v>
      </c>
      <c r="F3" s="54">
        <v>7.0000000000000001E-3</v>
      </c>
      <c r="G3" s="54">
        <v>-0.624</v>
      </c>
      <c r="H3" s="56">
        <v>6.0000000000000001E-3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topLeftCell="H1" workbookViewId="0">
      <selection activeCell="H10" sqref="H10"/>
    </sheetView>
  </sheetViews>
  <sheetFormatPr defaultRowHeight="14.25" x14ac:dyDescent="0.45"/>
  <cols>
    <col min="2" max="2" width="14" customWidth="1"/>
    <col min="3" max="3" width="17.796875" bestFit="1" customWidth="1"/>
    <col min="4" max="4" width="11" customWidth="1"/>
    <col min="5" max="5" width="16.53125" bestFit="1" customWidth="1"/>
    <col min="6" max="6" width="10" customWidth="1"/>
    <col min="7" max="8" width="17.796875" bestFit="1" customWidth="1"/>
    <col min="9" max="9" width="16.53125" bestFit="1" customWidth="1"/>
    <col min="10" max="10" width="11.86328125" customWidth="1"/>
    <col min="11" max="11" width="13.265625" bestFit="1" customWidth="1"/>
    <col min="13" max="13" width="9.59765625" bestFit="1"/>
  </cols>
  <sheetData>
    <row r="1" spans="1:10" x14ac:dyDescent="0.45">
      <c r="B1" s="91" t="s">
        <v>32</v>
      </c>
      <c r="C1" s="92"/>
      <c r="D1" s="92"/>
      <c r="E1" s="92"/>
      <c r="F1" s="92"/>
      <c r="G1" s="93" t="s">
        <v>33</v>
      </c>
      <c r="H1" s="93"/>
      <c r="I1" s="93"/>
      <c r="J1" s="93"/>
    </row>
    <row r="2" spans="1:10" x14ac:dyDescent="0.45">
      <c r="B2" s="57" t="s">
        <v>24</v>
      </c>
      <c r="C2" s="48" t="s">
        <v>27</v>
      </c>
      <c r="D2" s="58" t="s">
        <v>34</v>
      </c>
      <c r="E2" s="59" t="s">
        <v>29</v>
      </c>
      <c r="F2" s="58" t="s">
        <v>34</v>
      </c>
      <c r="G2" s="48" t="s">
        <v>24</v>
      </c>
      <c r="H2" s="48" t="s">
        <v>27</v>
      </c>
      <c r="I2" s="48" t="s">
        <v>29</v>
      </c>
      <c r="J2" s="58" t="s">
        <v>34</v>
      </c>
    </row>
    <row r="3" spans="1:10" x14ac:dyDescent="0.45">
      <c r="A3" s="94" t="s">
        <v>30</v>
      </c>
      <c r="B3" s="60">
        <v>0.25634000000000001</v>
      </c>
      <c r="C3" s="61">
        <v>0.51800000000000002</v>
      </c>
      <c r="D3" s="61">
        <v>2.8000000000000001E-2</v>
      </c>
      <c r="E3" s="61">
        <v>-1.9E-2</v>
      </c>
      <c r="F3" s="30">
        <v>8.0000000000000002E-3</v>
      </c>
      <c r="G3" s="9">
        <v>0.27538000000000001</v>
      </c>
      <c r="H3" s="61">
        <v>0</v>
      </c>
      <c r="I3" s="61">
        <v>0.49099999999999999</v>
      </c>
      <c r="J3" s="30">
        <v>0.01</v>
      </c>
    </row>
    <row r="4" spans="1:10" x14ac:dyDescent="0.45">
      <c r="A4" s="95"/>
      <c r="B4" s="13">
        <v>0.25634000000000001</v>
      </c>
      <c r="C4" s="46">
        <v>0.50900000000000001</v>
      </c>
      <c r="D4">
        <v>1.6E-2</v>
      </c>
      <c r="E4">
        <v>-0.21299999999999999</v>
      </c>
      <c r="F4" s="15">
        <v>1.2999999999999999E-2</v>
      </c>
      <c r="G4" s="14">
        <v>0.78227999999999998</v>
      </c>
      <c r="H4">
        <v>0</v>
      </c>
      <c r="I4" s="46">
        <v>0.24</v>
      </c>
      <c r="J4" s="15">
        <v>4.0000000000000001E-3</v>
      </c>
    </row>
    <row r="5" spans="1:10" x14ac:dyDescent="0.45">
      <c r="A5" s="96"/>
      <c r="B5" s="17">
        <v>0.76324000000000003</v>
      </c>
      <c r="C5" s="19">
        <v>0.34599999999999997</v>
      </c>
      <c r="D5" s="19">
        <v>1.2999999999999999E-2</v>
      </c>
      <c r="E5" s="19">
        <v>0.16300000000000001</v>
      </c>
      <c r="F5" s="62">
        <v>0.01</v>
      </c>
      <c r="G5" s="18">
        <v>0.27538000000000001</v>
      </c>
      <c r="H5" s="19">
        <v>0</v>
      </c>
      <c r="I5">
        <v>0.48499999999999999</v>
      </c>
      <c r="J5" s="20">
        <v>1.4E-2</v>
      </c>
    </row>
    <row r="6" spans="1:10" x14ac:dyDescent="0.45">
      <c r="A6" s="94" t="s">
        <v>35</v>
      </c>
      <c r="B6" s="60">
        <v>0.25634000000000001</v>
      </c>
      <c r="C6" s="61">
        <v>0.56899999999999995</v>
      </c>
      <c r="D6" s="61">
        <v>1.4E-2</v>
      </c>
      <c r="E6" s="61">
        <v>0.251</v>
      </c>
      <c r="F6" s="30">
        <v>2.4E-2</v>
      </c>
      <c r="G6" s="61">
        <v>0.27538000000000001</v>
      </c>
      <c r="H6" s="61">
        <v>0</v>
      </c>
      <c r="I6" s="61">
        <v>0.251</v>
      </c>
      <c r="J6" s="30">
        <v>2.4E-2</v>
      </c>
    </row>
    <row r="7" spans="1:10" x14ac:dyDescent="0.45">
      <c r="A7" s="95"/>
      <c r="B7" s="13">
        <v>0.25634000000000001</v>
      </c>
      <c r="C7">
        <v>0.56899999999999995</v>
      </c>
      <c r="D7">
        <v>4.0000000000000001E-3</v>
      </c>
      <c r="E7">
        <v>0.13200000000000001</v>
      </c>
      <c r="F7" s="15">
        <v>1.2E-2</v>
      </c>
      <c r="G7" s="14">
        <v>0.78227999999999998</v>
      </c>
      <c r="H7">
        <v>0</v>
      </c>
      <c r="I7">
        <v>0.13200000000000001</v>
      </c>
      <c r="J7" s="15">
        <v>1.2E-2</v>
      </c>
    </row>
    <row r="8" spans="1:10" x14ac:dyDescent="0.45">
      <c r="A8" s="96"/>
      <c r="B8" s="17">
        <v>0.76324000000000003</v>
      </c>
      <c r="C8" s="19">
        <v>0.48</v>
      </c>
      <c r="D8" s="19">
        <v>4.0000000000000001E-3</v>
      </c>
      <c r="E8" s="19">
        <v>0.34399999999999997</v>
      </c>
      <c r="F8" s="20">
        <v>1.4999999999999999E-2</v>
      </c>
      <c r="G8" s="18">
        <v>0.27538000000000001</v>
      </c>
      <c r="H8" s="19">
        <v>0</v>
      </c>
      <c r="I8" s="19">
        <v>0.34399999999999997</v>
      </c>
      <c r="J8" s="20">
        <v>1.4999999999999999E-2</v>
      </c>
    </row>
    <row r="9" spans="1:10" x14ac:dyDescent="0.45">
      <c r="A9" s="63"/>
    </row>
  </sheetData>
  <mergeCells count="4">
    <mergeCell ref="B1:F1"/>
    <mergeCell ref="G1:J1"/>
    <mergeCell ref="A3:A5"/>
    <mergeCell ref="A6:A8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tabSelected="1" workbookViewId="0">
      <selection activeCell="B8" sqref="B8"/>
    </sheetView>
  </sheetViews>
  <sheetFormatPr defaultRowHeight="14.25" x14ac:dyDescent="0.45"/>
  <sheetData>
    <row r="1" spans="1:4" x14ac:dyDescent="0.45">
      <c r="A1" s="73" t="s">
        <v>36</v>
      </c>
      <c r="B1" s="74"/>
      <c r="C1" s="75" t="s">
        <v>37</v>
      </c>
      <c r="D1" s="74"/>
    </row>
    <row r="2" spans="1:4" x14ac:dyDescent="0.45">
      <c r="A2" s="57" t="s">
        <v>24</v>
      </c>
      <c r="B2" s="59" t="s">
        <v>38</v>
      </c>
      <c r="C2" s="48" t="s">
        <v>24</v>
      </c>
      <c r="D2" s="59" t="s">
        <v>38</v>
      </c>
    </row>
    <row r="3" spans="1:4" x14ac:dyDescent="0.45">
      <c r="A3" s="64">
        <v>0.29006999999999999</v>
      </c>
      <c r="B3" s="65">
        <v>0.64</v>
      </c>
      <c r="C3" s="66">
        <f>0.29007+0.18594</f>
        <v>0.47600999999999999</v>
      </c>
      <c r="D3" s="65">
        <v>0.87</v>
      </c>
    </row>
  </sheetData>
  <mergeCells count="2">
    <mergeCell ref="A1:B1"/>
    <mergeCell ref="C1:D1"/>
  </mergeCell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5"/>
  <dimension ref="A1:B8"/>
  <sheetViews>
    <sheetView workbookViewId="0">
      <selection activeCell="H17" sqref="H17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67" t="s">
        <v>39</v>
      </c>
    </row>
    <row r="2" spans="1:2" x14ac:dyDescent="0.45">
      <c r="B2" s="68">
        <v>1.478</v>
      </c>
    </row>
    <row r="3" spans="1:2" x14ac:dyDescent="0.45">
      <c r="B3" s="68">
        <v>1.5192000000000001</v>
      </c>
    </row>
    <row r="4" spans="1:2" x14ac:dyDescent="0.45">
      <c r="B4" s="68">
        <v>1.5113000000000001</v>
      </c>
    </row>
    <row r="5" spans="1:2" x14ac:dyDescent="0.45">
      <c r="B5" s="68">
        <v>1.5176000000000001</v>
      </c>
    </row>
    <row r="6" spans="1:2" x14ac:dyDescent="0.45">
      <c r="B6" s="68">
        <v>1.5246999999999999</v>
      </c>
    </row>
    <row r="7" spans="1:2" x14ac:dyDescent="0.45">
      <c r="A7" s="69" t="s">
        <v>40</v>
      </c>
      <c r="B7" s="70">
        <f>AVERAGE(B2:B6)</f>
        <v>1.5101600000000002</v>
      </c>
    </row>
    <row r="8" spans="1:2" x14ac:dyDescent="0.45">
      <c r="A8" s="71" t="s">
        <v>41</v>
      </c>
      <c r="B8" s="72">
        <f>_xlfn.STDEV.S(B2:B6)/SQRT(COUNT(B2:B6))</f>
        <v>8.3188100110532705E-3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81DFC530-79CE-411B-9AC4-7A4DC899DC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7</cp:revision>
  <dcterms:created xsi:type="dcterms:W3CDTF">2026-04-21T08:47:18Z</dcterms:created>
  <dcterms:modified xsi:type="dcterms:W3CDTF">2026-06-19T13:54:58Z</dcterms:modified>
</cp:coreProperties>
</file>