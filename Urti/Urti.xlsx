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3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<sst xmlns="http://schemas.openxmlformats.org/spreadsheetml/2006/main" count="47" uniqueCount="47">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</sst>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indexed="5"/>
      </patternFill>
    </fill>
  </fills>
  <borders count="37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8" borderId="0" numFmtId="0" xfId="0" applyFill="1"/>
    <xf fontId="0" fillId="0" borderId="18" numFmtId="164" xfId="0" applyNumberFormat="1" applyBorder="1"/>
    <xf fontId="0" fillId="0" borderId="1" numFmtId="164" xfId="0" applyNumberFormat="1" applyBorder="1"/>
    <xf fontId="0" fillId="0" borderId="30" numFmtId="0" xfId="0" applyBorder="1"/>
    <xf fontId="0" fillId="0" borderId="33" numFmtId="164" xfId="0" applyNumberFormat="1" applyBorder="1"/>
    <xf fontId="0" fillId="0" borderId="31" numFmtId="0" xfId="0" applyBorder="1"/>
    <xf fontId="0" fillId="0" borderId="31" numFmtId="164" xfId="0" applyNumberFormat="1" applyBorder="1"/>
    <xf fontId="0" fillId="0" borderId="10" numFmtId="0" xfId="0" applyBorder="1"/>
    <xf fontId="0" fillId="2" borderId="1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30" numFmtId="0" xfId="0" applyFill="1" applyBorder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8" borderId="32" numFmtId="0" xfId="0" applyFill="1" applyBorder="1"/>
    <xf fontId="0" fillId="8" borderId="31" numFmtId="0" xfId="0" applyFill="1" applyBorder="1"/>
    <xf fontId="0" fillId="8" borderId="18" numFmtId="0" xfId="0" applyFill="1" applyBorder="1"/>
    <xf fontId="0" fillId="8" borderId="30" numFmtId="0" xfId="0" applyFill="1" applyBorder="1"/>
    <xf fontId="0" fillId="8" borderId="18" numFmtId="0" xfId="0" applyFill="1" applyBorder="1" applyAlignment="1">
      <alignment horizontal="center" vertical="center"/>
    </xf>
    <xf fontId="0" fillId="8" borderId="21" numFmtId="0" xfId="0" applyFill="1" applyBorder="1" applyAlignment="1">
      <alignment horizontal="center" vertical="center"/>
    </xf>
    <xf fontId="0" fillId="0" borderId="21" numFmtId="164" xfId="0" applyNumberFormat="1" applyBorder="1"/>
    <xf fontId="0" fillId="8" borderId="33" numFmtId="0" xfId="0" applyFill="1" applyBorder="1" applyAlignment="1">
      <alignment horizontal="center" vertical="center"/>
    </xf>
    <xf fontId="0" fillId="0" borderId="33" numFmtId="0" xfId="0" applyBorder="1"/>
    <xf fontId="0" fillId="8" borderId="34" numFmtId="0" xfId="0" applyFill="1" applyBorder="1" applyAlignment="1">
      <alignment horizontal="center" vertical="center"/>
    </xf>
    <xf fontId="0" fillId="8" borderId="35" numFmtId="0" xfId="0" applyFill="1" applyBorder="1" applyAlignment="1">
      <alignment horizontal="center" vertical="center"/>
    </xf>
    <xf fontId="0" fillId="8" borderId="36" numFmtId="0" xfId="0" applyFill="1" applyBorder="1" applyAlignment="1">
      <alignment horizontal="center" vertical="center"/>
    </xf>
    <xf fontId="0" fillId="0" borderId="0" numFmtId="0" xfId="0" applyAlignment="1">
      <alignment vertical="center"/>
    </xf>
    <xf fontId="0" fillId="9" borderId="18" numFmtId="0" xfId="0" applyFill="1" applyBorder="1" applyAlignment="1">
      <alignment horizontal="center"/>
    </xf>
    <xf fontId="0" fillId="9" borderId="30" numFmtId="0" xfId="0" applyFill="1" applyBorder="1" applyAlignment="1">
      <alignment horizontal="center"/>
    </xf>
    <xf fontId="0" fillId="9" borderId="1" numFmtId="0" xfId="0" applyFill="1" applyBorder="1" applyAlignment="1">
      <alignment horizontal="center"/>
    </xf>
    <xf fontId="0" fillId="9" borderId="34" numFmtId="0" xfId="0" applyFill="1" applyBorder="1"/>
    <xf fontId="0" fillId="0" borderId="35" numFmtId="0" xfId="0" applyBorder="1"/>
    <xf fontId="0" fillId="8" borderId="34" numFmtId="0" xfId="0" applyFill="1" applyBorder="1"/>
    <xf fontId="0" fillId="0" borderId="34" numFmtId="0" xfId="0" applyBorder="1"/>
    <xf fontId="0" fillId="8" borderId="36" numFmtId="0" xfId="0" applyFill="1" applyBorder="1"/>
    <xf fontId="0" fillId="0" borderId="36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bestFit="1" customWidth="1" min="1" max="1" width="16.875"/>
    <col bestFit="1" customWidth="1" min="2" max="2" width="15.453125"/>
    <col bestFit="1" customWidth="1" min="3" max="3" width="13.953125"/>
    <col bestFit="1" customWidth="1" min="4" max="5" width="11.54296875"/>
    <col bestFit="1" customWidth="1" min="6" max="6" width="14.953125"/>
    <col bestFit="1" customWidth="1" min="7" max="8" width="16.04296875"/>
    <col bestFit="1" customWidth="1" min="9" max="9" width="19.292968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ht="14.6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D3"/>
      <c r="E3"/>
      <c r="F3" s="14">
        <f>C3+D2+E2</f>
        <v>0.78227999999999986</v>
      </c>
      <c r="G3"/>
      <c r="H3" s="15"/>
    </row>
    <row r="4" ht="14.6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customWidth="1" min="2" max="2" width="11.50390625"/>
    <col customWidth="1" min="3" max="3" width="12.00390625"/>
    <col customWidth="1" min="4" max="4" width="12.75390625"/>
    <col customWidth="1" min="5" max="5" width="13.50390625"/>
  </cols>
  <sheetData>
    <row r="1">
      <c r="A1" s="21"/>
      <c r="B1" s="22" t="s">
        <v>11</v>
      </c>
      <c r="C1" s="23"/>
      <c r="D1" s="24" t="s">
        <v>12</v>
      </c>
      <c r="E1" s="25"/>
    </row>
    <row r="2" ht="14.65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 ht="14.6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  <row r="8" ht="14.65"/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 ht="14.65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>
        <v>0.26000000000000001</v>
      </c>
      <c r="C5">
        <v>3.0000000000000001e-003</v>
      </c>
      <c r="D5">
        <v>0.17499999999999999</v>
      </c>
      <c r="E5" s="60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  <row r="8" ht="14.65"/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62" t="s">
        <v>24</v>
      </c>
      <c r="C1" s="62" t="s">
        <v>25</v>
      </c>
      <c r="D1" s="62" t="s">
        <v>26</v>
      </c>
      <c r="E1" s="62" t="s">
        <v>27</v>
      </c>
      <c r="F1" s="62" t="s">
        <v>28</v>
      </c>
      <c r="G1" s="62" t="s">
        <v>29</v>
      </c>
      <c r="H1" s="62" t="s">
        <v>30</v>
      </c>
      <c r="I1" s="62" t="s">
        <v>31</v>
      </c>
    </row>
    <row r="2">
      <c r="A2" s="62" t="s">
        <v>32</v>
      </c>
      <c r="B2" s="63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64">
        <f>0.27538*(F2-E2)</f>
        <v>-0.30291800000000002</v>
      </c>
      <c r="H2" s="1">
        <f t="shared" ref="H2:H3" si="0">0.5*B2*(F2-E2)^2</f>
        <v>0.16660490000000003</v>
      </c>
      <c r="I2" s="65">
        <f t="shared" ref="I2:I3" si="1">-(B2*F2)/(B2*E2)</f>
        <v>0.9642857142857143</v>
      </c>
    </row>
    <row r="3" ht="14.65">
      <c r="A3" s="62" t="s">
        <v>33</v>
      </c>
      <c r="B3" s="66">
        <v>0.25686999999999999</v>
      </c>
      <c r="C3" s="67">
        <v>-0.28999999999999998</v>
      </c>
      <c r="D3" s="67">
        <f>0.07/SQRT(3)</f>
        <v>4.0414518843273808e-002</v>
      </c>
      <c r="E3" s="67">
        <v>0.64000000000000001</v>
      </c>
      <c r="F3" s="67">
        <v>-0.62</v>
      </c>
      <c r="G3" s="68">
        <f>0.25687*(F3-E3)</f>
        <v>-0.32365620000000001</v>
      </c>
      <c r="H3" s="67">
        <f t="shared" si="0"/>
        <v>0.20390340600000001</v>
      </c>
      <c r="I3" s="69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bestFit="1" customWidth="1" min="2" max="2" width="9"/>
    <col bestFit="1" customWidth="1" min="3" max="4" width="16.33203125"/>
    <col bestFit="1" customWidth="1" min="5" max="5" width="9"/>
    <col bestFit="1" customWidth="1" min="6" max="6" width="17.59765625"/>
    <col bestFit="1" customWidth="1" min="7" max="7" width="16.33203125"/>
    <col bestFit="1" customWidth="1" min="8" max="8" width="27.1328125"/>
    <col bestFit="1" customWidth="1" min="9" max="9" width="25.9296875"/>
    <col bestFit="1" customWidth="1" min="10" max="10" width="14.1328125"/>
    <col bestFit="1" customWidth="1" min="11" max="11" width="13.265625"/>
  </cols>
  <sheetData>
    <row r="1" ht="14.65">
      <c r="B1" s="70" t="s">
        <v>34</v>
      </c>
      <c r="C1" s="71"/>
      <c r="D1" s="72"/>
      <c r="E1" s="73" t="s">
        <v>35</v>
      </c>
      <c r="F1" s="73"/>
      <c r="G1" s="73"/>
    </row>
    <row r="2" ht="14.65">
      <c r="B2" s="74" t="s">
        <v>24</v>
      </c>
      <c r="C2" s="62" t="s">
        <v>27</v>
      </c>
      <c r="D2" s="75" t="s">
        <v>28</v>
      </c>
      <c r="E2" s="62" t="s">
        <v>24</v>
      </c>
      <c r="F2" s="76" t="s">
        <v>27</v>
      </c>
      <c r="G2" s="62" t="s">
        <v>28</v>
      </c>
      <c r="H2" s="77" t="s">
        <v>36</v>
      </c>
      <c r="I2" s="78" t="s">
        <v>37</v>
      </c>
      <c r="J2" s="77" t="s">
        <v>38</v>
      </c>
      <c r="K2" s="78" t="s">
        <v>39</v>
      </c>
    </row>
    <row r="3">
      <c r="A3" s="79" t="s">
        <v>32</v>
      </c>
      <c r="B3" s="63">
        <v>0.25634000000000001</v>
      </c>
      <c r="C3" s="1">
        <v>0.53500000000000003</v>
      </c>
      <c r="D3" s="1">
        <v>-2.e-003</v>
      </c>
      <c r="E3" s="63">
        <v>0.27538000000000001</v>
      </c>
      <c r="F3" s="1">
        <v>0</v>
      </c>
      <c r="G3" s="1">
        <v>0.45800000000000002</v>
      </c>
      <c r="H3" s="21">
        <f t="shared" ref="H3:H8" si="2">B3*C3</f>
        <v>0.13714190000000001</v>
      </c>
      <c r="I3" s="65">
        <f t="shared" ref="I3:I8" si="3">B3*D3+E3*G3</f>
        <v>0.12561136000000003</v>
      </c>
      <c r="J3" s="21">
        <f t="shared" ref="J3:J8" si="4">0.5*B3*C3^2</f>
        <v>3.6685458250000004e-002</v>
      </c>
      <c r="K3" s="65">
        <f t="shared" ref="K3:K8" si="5">0.5*(B3*D3^2+E3*G3^2)</f>
        <v>2.8882917840000001e-002</v>
      </c>
    </row>
    <row r="4">
      <c r="A4" s="80"/>
      <c r="B4" s="81">
        <v>0.25634000000000001</v>
      </c>
      <c r="C4" s="61">
        <v>0.53000000000000003</v>
      </c>
      <c r="D4">
        <v>-0.22600000000000001</v>
      </c>
      <c r="E4" s="81">
        <v>0.78227999999999998</v>
      </c>
      <c r="F4">
        <v>0</v>
      </c>
      <c r="G4">
        <v>0.24299999999999999</v>
      </c>
      <c r="H4" s="26">
        <f t="shared" si="2"/>
        <v>0.13586020000000001</v>
      </c>
      <c r="I4" s="60">
        <f t="shared" si="3"/>
        <v>0.13216119999999998</v>
      </c>
      <c r="J4" s="26">
        <f t="shared" si="4"/>
        <v>3.6002953000000004e-002</v>
      </c>
      <c r="K4" s="60">
        <f t="shared" si="5"/>
        <v>2.9642836780000001e-002</v>
      </c>
    </row>
    <row r="5" ht="14.65">
      <c r="A5" s="82"/>
      <c r="B5" s="83">
        <v>0.76324000000000003</v>
      </c>
      <c r="C5" s="67">
        <v>0.36799999999999999</v>
      </c>
      <c r="D5" s="67">
        <v>0.158</v>
      </c>
      <c r="E5" s="66">
        <v>0.27538000000000001</v>
      </c>
      <c r="F5" s="67">
        <v>0</v>
      </c>
      <c r="G5" s="67">
        <v>0.48499999999999999</v>
      </c>
      <c r="H5" s="83">
        <f t="shared" si="2"/>
        <v>0.28087232000000001</v>
      </c>
      <c r="I5" s="69">
        <f t="shared" si="3"/>
        <v>0.25415122000000001</v>
      </c>
      <c r="J5" s="83">
        <f t="shared" si="4"/>
        <v>5.1680506879999998e-002</v>
      </c>
      <c r="K5" s="69">
        <f t="shared" si="5"/>
        <v>4.1914891930000003e-002</v>
      </c>
    </row>
    <row r="6">
      <c r="A6" s="84" t="s">
        <v>40</v>
      </c>
      <c r="B6" s="63">
        <v>0.25634000000000001</v>
      </c>
      <c r="C6" s="1">
        <v>0.57799999999999996</v>
      </c>
      <c r="D6" s="65">
        <v>0.253</v>
      </c>
      <c r="E6" s="1">
        <v>0.27538000000000001</v>
      </c>
      <c r="F6">
        <v>0</v>
      </c>
      <c r="G6" s="1">
        <v>0.253</v>
      </c>
      <c r="H6" s="26">
        <f t="shared" si="2"/>
        <v>0.14816451999999999</v>
      </c>
      <c r="I6" s="60">
        <f t="shared" si="3"/>
        <v>0.13452516</v>
      </c>
      <c r="J6" s="26">
        <f t="shared" si="4"/>
        <v>4.2819546279999995e-002</v>
      </c>
      <c r="K6" s="60">
        <f t="shared" si="5"/>
        <v>1.7017432739999998e-002</v>
      </c>
    </row>
    <row r="7">
      <c r="A7" s="85"/>
      <c r="B7" s="81">
        <v>0.25634000000000001</v>
      </c>
      <c r="C7">
        <v>0.57199999999999995</v>
      </c>
      <c r="D7" s="60">
        <v>0.14000000000000001</v>
      </c>
      <c r="E7" s="81">
        <v>0.78227999999999998</v>
      </c>
      <c r="F7">
        <v>0</v>
      </c>
      <c r="G7">
        <v>0.14000000000000001</v>
      </c>
      <c r="H7" s="26">
        <f t="shared" si="2"/>
        <v>0.14662648</v>
      </c>
      <c r="I7" s="60">
        <f t="shared" si="3"/>
        <v>0.1454068</v>
      </c>
      <c r="J7" s="26">
        <f t="shared" si="4"/>
        <v>4.1935173279999995e-002</v>
      </c>
      <c r="K7" s="60">
        <f t="shared" si="5"/>
        <v>1.0178476000000002e-002</v>
      </c>
    </row>
    <row r="8" ht="14.65">
      <c r="A8" s="86"/>
      <c r="B8" s="83">
        <v>0.76324000000000003</v>
      </c>
      <c r="C8" s="67">
        <v>0.47799999999999998</v>
      </c>
      <c r="D8" s="69">
        <v>0.34399999999999997</v>
      </c>
      <c r="E8" s="66">
        <v>0.27538000000000001</v>
      </c>
      <c r="F8" s="67">
        <v>0</v>
      </c>
      <c r="G8" s="67">
        <v>0.34399999999999997</v>
      </c>
      <c r="H8" s="83">
        <f t="shared" si="2"/>
        <v>0.36482872</v>
      </c>
      <c r="I8" s="69">
        <f t="shared" si="3"/>
        <v>0.35728527999999998</v>
      </c>
      <c r="J8" s="83">
        <f t="shared" si="4"/>
        <v>8.7194064079999994e-002</v>
      </c>
      <c r="K8" s="69">
        <f t="shared" si="5"/>
        <v>6.1453068159999999e-002</v>
      </c>
    </row>
    <row r="9">
      <c r="A9" s="87"/>
    </row>
  </sheetData>
  <mergeCells count="4">
    <mergeCell ref="E1:G1"/>
    <mergeCell ref="A3:A5"/>
    <mergeCell ref="A6:A8"/>
    <mergeCell ref="B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8" t="s">
        <v>41</v>
      </c>
      <c r="B1" s="89"/>
      <c r="C1" s="90" t="s">
        <v>42</v>
      </c>
      <c r="D1" s="89"/>
    </row>
    <row r="2">
      <c r="A2" s="74" t="s">
        <v>24</v>
      </c>
      <c r="B2" s="75" t="s">
        <v>43</v>
      </c>
      <c r="C2" s="62" t="s">
        <v>24</v>
      </c>
      <c r="D2" s="75" t="s">
        <v>43</v>
      </c>
    </row>
    <row r="3" ht="14.65">
      <c r="A3" s="83">
        <v>0.29006999999999999</v>
      </c>
      <c r="B3" s="69">
        <v>0.68000000000000005</v>
      </c>
      <c r="C3" s="67">
        <f>0.29007+0.18594</f>
        <v>0.47600999999999999</v>
      </c>
      <c r="D3" s="69">
        <v>0.93999999999999995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44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 ht="14.65">
      <c r="B6" s="92">
        <v>1.5246999999999999</v>
      </c>
    </row>
    <row r="7">
      <c r="A7" s="93" t="s">
        <v>45</v>
      </c>
      <c r="B7" s="94">
        <f>AVERAGE(B2:B6)</f>
        <v>1.5101600000000002</v>
      </c>
    </row>
    <row r="8" ht="14.65">
      <c r="A8" s="95" t="s">
        <v>46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2026-04-21T08:47:18Z</dcterms:created>
  <dcterms:modified xsi:type="dcterms:W3CDTF">2026-06-04T11:34:36Z</dcterms:modified>
</cp:coreProperties>
</file>