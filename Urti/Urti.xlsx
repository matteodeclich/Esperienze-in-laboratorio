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4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<sst xmlns="http://schemas.openxmlformats.org/spreadsheetml/2006/main" count="42" uniqueCount="42">
  <si>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</si>
  <si>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</si>
  <si>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</si>
  <si>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</si>
  <si>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</si>
  <si>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</si>
  <si>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</si>
  <si>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</si>
  <si>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</si>
  <si>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</si>
  <si>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</si>
  <si>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</si>
  <si>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</si>
  <si>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</si>
  <si>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</si>
  <si>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</si>
  <si>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</si>
  <si>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</si>
  <si>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</si>
  <si>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</si>
  <si>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</si>
  <si>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</si>
  <si>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</si>
  <si>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</si>
  <si>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</si>
  <si>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</si>
  <si>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 (semidisp.)</t>
  </si>
  <si>
    <t xml:space="preserve">Velocità iniziale (m/s)</t>
  </si>
  <si>
    <t xml:space="preserve">Incertezza (dev.standard)</t>
  </si>
  <si>
    <t xml:space="preserve">Velocità finale (m/s)</t>
  </si>
  <si>
    <t>Magnete</t>
  </si>
  <si>
    <t>Molla</t>
  </si>
  <si>
    <t xml:space="preserve">Carrello rosso</t>
  </si>
  <si>
    <t xml:space="preserve">Carrello blu</t>
  </si>
  <si>
    <t xml:space="preserve">sv (m/s)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</si>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</sst>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  <bgColor indexed="65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</patternFill>
    </fill>
  </fills>
  <borders count="42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0" borderId="32" numFmtId="165" xfId="0" applyNumberFormat="1" applyBorder="1"/>
    <xf fontId="0" fillId="8" borderId="0" numFmtId="0" xfId="0" applyFill="1"/>
    <xf fontId="0" fillId="8" borderId="0" numFmtId="0" xfId="0" applyFill="1" applyAlignment="1">
      <alignment horizontal="left"/>
    </xf>
    <xf fontId="0" fillId="8" borderId="0" numFmtId="0" xfId="0" applyFill="1" applyAlignment="1">
      <alignment horizontal="center" wrapText="1"/>
    </xf>
    <xf fontId="0" fillId="0" borderId="33" numFmtId="0" xfId="0" applyBorder="1"/>
    <xf fontId="0" fillId="0" borderId="34" numFmtId="0" xfId="0" applyBorder="1"/>
    <xf fontId="0" fillId="0" borderId="35" numFmtId="164" xfId="0" applyNumberFormat="1" applyBorder="1"/>
    <xf fontId="0" fillId="0" borderId="36" numFmtId="0" xfId="0" applyBorder="1"/>
    <xf fontId="0" fillId="0" borderId="36" numFmtId="165" xfId="0" applyNumberFormat="1" applyBorder="1"/>
    <xf fontId="0" fillId="0" borderId="37" numFmtId="0" xfId="0" applyBorder="1"/>
    <xf fontId="0" fillId="2" borderId="21" numFmtId="0" xfId="0" applyFill="1" applyBorder="1" applyAlignment="1">
      <alignment horizontal="center"/>
    </xf>
    <xf fontId="0" fillId="2" borderId="0" numFmtId="0" xfId="0" applyFill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9" borderId="0" numFmtId="0" xfId="0" applyFill="1"/>
    <xf fontId="0" fillId="8" borderId="32" numFmtId="0" xfId="0" applyFill="1" applyBorder="1"/>
    <xf fontId="0" fillId="8" borderId="18" numFmtId="0" xfId="0" applyFill="1" applyBorder="1" applyAlignment="1">
      <alignment horizontal="center" vertical="center"/>
    </xf>
    <xf fontId="0" fillId="0" borderId="7" numFmtId="164" xfId="0" applyNumberFormat="1" applyBorder="1"/>
    <xf fontId="0" fillId="0" borderId="8" numFmtId="0" xfId="0" applyBorder="1"/>
    <xf fontId="0" fillId="8" borderId="21" numFmtId="0" xfId="0" applyFill="1" applyBorder="1" applyAlignment="1">
      <alignment horizontal="center" vertical="center"/>
    </xf>
    <xf fontId="0" fillId="8" borderId="38" numFmtId="0" xfId="0" applyFill="1" applyBorder="1" applyAlignment="1">
      <alignment horizontal="center" vertical="center"/>
    </xf>
    <xf fontId="0" fillId="0" borderId="17" numFmtId="165" xfId="0" applyNumberFormat="1" applyBorder="1"/>
    <xf fontId="0" fillId="0" borderId="0" numFmtId="0" xfId="0" applyAlignment="1">
      <alignment vertical="center"/>
    </xf>
    <xf fontId="0" fillId="10" borderId="18" numFmtId="0" xfId="0" applyFill="1" applyBorder="1" applyAlignment="1">
      <alignment horizontal="center"/>
    </xf>
    <xf fontId="0" fillId="10" borderId="30" numFmtId="0" xfId="0" applyFill="1" applyBorder="1" applyAlignment="1">
      <alignment horizontal="center"/>
    </xf>
    <xf fontId="0" fillId="10" borderId="1" numFmtId="0" xfId="0" applyFill="1" applyBorder="1" applyAlignment="1">
      <alignment horizontal="center"/>
    </xf>
    <xf fontId="0" fillId="0" borderId="38" numFmtId="0" xfId="0" applyBorder="1"/>
    <xf fontId="0" fillId="0" borderId="10" numFmtId="0" xfId="0" applyBorder="1"/>
    <xf fontId="0" fillId="0" borderId="31" numFmtId="0" xfId="0" applyBorder="1"/>
    <xf fontId="0" fillId="10" borderId="39" numFmtId="0" xfId="0" applyFill="1" applyBorder="1"/>
    <xf fontId="0" fillId="0" borderId="40" numFmtId="0" xfId="0" applyBorder="1"/>
    <xf fontId="0" fillId="8" borderId="39" numFmtId="0" xfId="0" applyFill="1" applyBorder="1"/>
    <xf fontId="0" fillId="0" borderId="39" numFmtId="0" xfId="0" applyBorder="1"/>
    <xf fontId="0" fillId="8" borderId="41" numFmtId="0" xfId="0" applyFill="1" applyBorder="1"/>
    <xf fontId="0" fillId="0" borderId="41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B3" activeCellId="0" sqref="B3"/>
    </sheetView>
  </sheetViews>
  <sheetFormatPr defaultRowHeight="14.25"/>
  <cols>
    <col bestFit="1" customWidth="1" min="1" max="1" width="16.86328125"/>
    <col bestFit="1" customWidth="1" min="2" max="2" width="15.46484375"/>
    <col bestFit="1" customWidth="1" min="3" max="3" width="13.9296875"/>
    <col bestFit="1" customWidth="1" min="4" max="5" width="11.53125"/>
    <col bestFit="1" customWidth="1" min="6" max="6" width="14.9296875"/>
    <col bestFit="1" customWidth="1" min="7" max="8" width="16.06640625"/>
    <col bestFit="1" customWidth="1" min="9" max="9" width="19.26562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C23" activeCellId="0" sqref="C23"/>
    </sheetView>
  </sheetViews>
  <sheetFormatPr defaultRowHeight="14.25"/>
  <cols>
    <col customWidth="1" min="2" max="2" width="11.53125"/>
    <col customWidth="1" min="3" max="3" width="12"/>
    <col customWidth="1" min="4" max="4" width="12.73046875"/>
    <col customWidth="1" min="5" max="5" width="13.53125"/>
  </cols>
  <sheetData>
    <row r="1">
      <c r="A1" s="21"/>
      <c r="B1" s="22" t="s">
        <v>11</v>
      </c>
      <c r="C1" s="23"/>
      <c r="D1" s="24" t="s">
        <v>12</v>
      </c>
      <c r="E1" s="25"/>
    </row>
    <row r="2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 s="61">
        <v>0.26000000000000001</v>
      </c>
      <c r="C5">
        <v>3.0000000000000001e-003</v>
      </c>
      <c r="D5">
        <v>0.17499999999999999</v>
      </c>
      <c r="E5" s="62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3" activeCellId="0" sqref="I13"/>
    </sheetView>
  </sheetViews>
  <sheetFormatPr defaultRowHeight="14.25"/>
  <cols>
    <col bestFit="1" customWidth="1" min="1" max="1" width="7.3984375"/>
    <col bestFit="1" customWidth="1" min="2" max="2" width="9.54296875"/>
    <col bestFit="1" customWidth="1" min="3" max="3" width="9.125"/>
    <col bestFit="1" customWidth="1" min="4" max="4" width="22.953125"/>
    <col bestFit="1" customWidth="1" min="5" max="5" width="17.79296875"/>
    <col customWidth="1" min="6" max="6" width="15.06640625"/>
    <col bestFit="1" customWidth="1" min="7" max="7" width="16.33203125"/>
    <col customWidth="1" min="8" max="8" width="16"/>
    <col bestFit="1" customWidth="1" min="9" max="9" width="17"/>
    <col bestFit="1" customWidth="1" min="11" max="11" width="17"/>
  </cols>
  <sheetData>
    <row r="1" ht="28.5">
      <c r="B1" s="63" t="s">
        <v>24</v>
      </c>
      <c r="C1" s="63" t="s">
        <v>25</v>
      </c>
      <c r="D1" s="64" t="s">
        <v>26</v>
      </c>
      <c r="E1" s="63" t="s">
        <v>27</v>
      </c>
      <c r="F1" s="65" t="s">
        <v>28</v>
      </c>
      <c r="G1" s="63" t="s">
        <v>29</v>
      </c>
      <c r="H1" s="65" t="s">
        <v>28</v>
      </c>
    </row>
    <row r="2">
      <c r="A2" s="63" t="s">
        <v>30</v>
      </c>
      <c r="B2" s="14">
        <v>0.27538000000000001</v>
      </c>
      <c r="C2" s="66">
        <v>-0.26100000000000001</v>
      </c>
      <c r="D2" s="66">
        <v>2.e-002</v>
      </c>
      <c r="E2" s="66">
        <v>0.55800000000000005</v>
      </c>
      <c r="F2" s="66">
        <v>8.0000000000000002e-003</v>
      </c>
      <c r="G2" s="66">
        <v>-0.54100000000000004</v>
      </c>
      <c r="H2" s="67">
        <v>7.0000000000000001e-003</v>
      </c>
    </row>
    <row r="3" ht="14.65">
      <c r="A3" s="63" t="s">
        <v>31</v>
      </c>
      <c r="B3" s="68">
        <v>0.25686999999999999</v>
      </c>
      <c r="C3" s="69">
        <v>-0.28599999999999998</v>
      </c>
      <c r="D3" s="69">
        <f>0.04</f>
        <v>4.0000000000000001e-002</v>
      </c>
      <c r="E3" s="70">
        <v>0.64000000000000001</v>
      </c>
      <c r="F3" s="69">
        <v>7.0000000000000001e-003</v>
      </c>
      <c r="G3" s="69">
        <v>-0.624</v>
      </c>
      <c r="H3" s="71">
        <v>6.0000000000000001e-003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H1" zoomScale="100" workbookViewId="0">
      <selection activeCell="H10" activeCellId="0" sqref="H10"/>
    </sheetView>
  </sheetViews>
  <sheetFormatPr defaultRowHeight="14.25"/>
  <cols>
    <col customWidth="1" min="2" max="2" width="14"/>
    <col bestFit="1" customWidth="1" min="3" max="3" width="17.796875"/>
    <col customWidth="1" min="4" max="4" width="11"/>
    <col bestFit="1" customWidth="1" min="5" max="5" width="16.53125"/>
    <col customWidth="1" min="6" max="6" width="10"/>
    <col bestFit="1" customWidth="1" min="7" max="8" width="17.796875"/>
    <col bestFit="1" customWidth="1" min="9" max="9" width="16.53125"/>
    <col customWidth="1" min="10" max="10" width="11.86328125"/>
    <col bestFit="1" customWidth="1" min="11" max="11" width="13.265625"/>
    <col bestFit="1" min="13" max="13" width="9.59765625"/>
  </cols>
  <sheetData>
    <row r="1">
      <c r="B1" s="72" t="s">
        <v>32</v>
      </c>
      <c r="C1" s="73"/>
      <c r="D1" s="73"/>
      <c r="E1" s="73"/>
      <c r="F1" s="73"/>
      <c r="G1" s="74" t="s">
        <v>33</v>
      </c>
      <c r="H1" s="74"/>
      <c r="I1" s="74"/>
      <c r="J1" s="74"/>
    </row>
    <row r="2">
      <c r="B2" s="75" t="s">
        <v>24</v>
      </c>
      <c r="C2" s="63" t="s">
        <v>27</v>
      </c>
      <c r="D2" s="76" t="s">
        <v>34</v>
      </c>
      <c r="E2" s="77" t="s">
        <v>29</v>
      </c>
      <c r="F2" s="76" t="s">
        <v>34</v>
      </c>
      <c r="G2" s="63" t="s">
        <v>24</v>
      </c>
      <c r="H2" s="63" t="s">
        <v>27</v>
      </c>
      <c r="I2" s="63" t="s">
        <v>29</v>
      </c>
      <c r="J2" s="76" t="s">
        <v>34</v>
      </c>
    </row>
    <row r="3">
      <c r="A3" s="78" t="s">
        <v>30</v>
      </c>
      <c r="B3" s="79">
        <v>0.25634000000000001</v>
      </c>
      <c r="C3" s="80">
        <v>0.51800000000000002</v>
      </c>
      <c r="D3" s="80">
        <v>2.8000000000000001e-002</v>
      </c>
      <c r="E3" s="80">
        <v>-1.9e-002</v>
      </c>
      <c r="F3" s="34">
        <v>8.0000000000000002e-003</v>
      </c>
      <c r="G3" s="9">
        <v>0.27538000000000001</v>
      </c>
      <c r="H3" s="80">
        <v>0</v>
      </c>
      <c r="I3" s="80">
        <v>0.49099999999999999</v>
      </c>
      <c r="J3" s="34">
        <v>1.e-002</v>
      </c>
    </row>
    <row r="4">
      <c r="A4" s="81"/>
      <c r="B4" s="13">
        <v>0.25634000000000001</v>
      </c>
      <c r="C4" s="61">
        <v>0.50900000000000001</v>
      </c>
      <c r="D4">
        <v>1.6e-002</v>
      </c>
      <c r="E4">
        <v>-0.21299999999999999</v>
      </c>
      <c r="F4" s="15">
        <v>1.2999999999999999e-002</v>
      </c>
      <c r="G4" s="14">
        <v>0.78227999999999998</v>
      </c>
      <c r="H4">
        <v>0</v>
      </c>
      <c r="I4" s="61">
        <v>0.23999999999999999</v>
      </c>
      <c r="J4" s="15">
        <v>4.0000000000000001e-003</v>
      </c>
    </row>
    <row r="5">
      <c r="A5" s="82"/>
      <c r="B5" s="17">
        <v>0.76324000000000003</v>
      </c>
      <c r="C5" s="19">
        <v>0.34599999999999997</v>
      </c>
      <c r="D5" s="19">
        <v>1.2999999999999999e-002</v>
      </c>
      <c r="E5" s="19">
        <v>0.16300000000000001</v>
      </c>
      <c r="F5" s="83">
        <v>1.e-002</v>
      </c>
      <c r="G5" s="18">
        <v>0.27538000000000001</v>
      </c>
      <c r="H5" s="19">
        <v>0</v>
      </c>
      <c r="I5">
        <v>0.48499999999999999</v>
      </c>
      <c r="J5" s="20">
        <v>1.4e-002</v>
      </c>
    </row>
    <row r="6">
      <c r="A6" s="78" t="s">
        <v>35</v>
      </c>
      <c r="B6" s="79">
        <v>0.25634000000000001</v>
      </c>
      <c r="C6" s="80">
        <v>0.56899999999999995</v>
      </c>
      <c r="D6" s="80">
        <v>1.4e-002</v>
      </c>
      <c r="E6" s="80">
        <v>0.251</v>
      </c>
      <c r="F6" s="34">
        <v>2.4e-002</v>
      </c>
      <c r="G6" s="80">
        <v>0.27538000000000001</v>
      </c>
      <c r="H6" s="80">
        <v>0</v>
      </c>
      <c r="I6" s="80">
        <v>0.251</v>
      </c>
      <c r="J6" s="34">
        <v>2.4e-002</v>
      </c>
    </row>
    <row r="7">
      <c r="A7" s="81"/>
      <c r="B7" s="13">
        <v>0.25634000000000001</v>
      </c>
      <c r="C7">
        <v>0.56899999999999995</v>
      </c>
      <c r="D7">
        <v>4.0000000000000001e-003</v>
      </c>
      <c r="E7">
        <v>0.13200000000000001</v>
      </c>
      <c r="F7" s="15">
        <v>1.2e-002</v>
      </c>
      <c r="G7" s="14">
        <v>0.78227999999999998</v>
      </c>
      <c r="H7">
        <v>0</v>
      </c>
      <c r="I7">
        <v>0.13200000000000001</v>
      </c>
      <c r="J7" s="15">
        <v>1.2e-002</v>
      </c>
    </row>
    <row r="8">
      <c r="A8" s="82"/>
      <c r="B8" s="17">
        <v>0.76324000000000003</v>
      </c>
      <c r="C8" s="19">
        <v>0.47999999999999998</v>
      </c>
      <c r="D8" s="19">
        <v>4.0000000000000001e-003</v>
      </c>
      <c r="E8" s="19">
        <v>0.34399999999999997</v>
      </c>
      <c r="F8" s="20">
        <v>1.4999999999999999e-002</v>
      </c>
      <c r="G8" s="18">
        <v>0.27538000000000001</v>
      </c>
      <c r="H8" s="19">
        <v>0</v>
      </c>
      <c r="I8" s="19">
        <v>0.34399999999999997</v>
      </c>
      <c r="J8" s="20">
        <v>1.4999999999999999e-002</v>
      </c>
    </row>
    <row r="9">
      <c r="A9" s="84"/>
    </row>
  </sheetData>
  <mergeCells count="4">
    <mergeCell ref="B1:F1"/>
    <mergeCell ref="G1:J1"/>
    <mergeCell ref="A3:A5"/>
    <mergeCell ref="A6:A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5" t="s">
        <v>36</v>
      </c>
      <c r="B1" s="86"/>
      <c r="C1" s="87" t="s">
        <v>37</v>
      </c>
      <c r="D1" s="86"/>
    </row>
    <row r="2">
      <c r="A2" s="75" t="s">
        <v>24</v>
      </c>
      <c r="B2" s="77" t="s">
        <v>38</v>
      </c>
      <c r="C2" s="63" t="s">
        <v>24</v>
      </c>
      <c r="D2" s="77" t="s">
        <v>38</v>
      </c>
    </row>
    <row r="3">
      <c r="A3" s="88">
        <v>0.29006999999999999</v>
      </c>
      <c r="B3" s="89">
        <v>0.68100000000000005</v>
      </c>
      <c r="C3" s="90">
        <f>0.29007+0.18594</f>
        <v>0.47600999999999999</v>
      </c>
      <c r="D3" s="89">
        <v>0.93600000000000005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39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>
      <c r="B6" s="92">
        <v>1.5246999999999999</v>
      </c>
    </row>
    <row r="7">
      <c r="A7" s="93" t="s">
        <v>40</v>
      </c>
      <c r="B7" s="94">
        <f>AVERAGE(B2:B6)</f>
        <v>1.5101600000000002</v>
      </c>
    </row>
    <row r="8">
      <c r="A8" s="95" t="s">
        <v>41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EB146277-E2E3-4D76-8D30-7199B5C8E298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7</cp:revision>
  <dcterms:created xsi:type="dcterms:W3CDTF">2026-04-21T08:47:18Z</dcterms:created>
  <dcterms:modified xsi:type="dcterms:W3CDTF">2026-06-10T10:44:41Z</dcterms:modified>
</cp:coreProperties>
</file>