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Tubo risonanza/"/>
    </mc:Choice>
  </mc:AlternateContent>
  <xr:revisionPtr revIDLastSave="11" documentId="11_4EA575A1DFE3364F0B4F8B64A213E580FFB29C18" xr6:coauthVersionLast="47" xr6:coauthVersionMax="47" xr10:uidLastSave="{AA1CB9CC-BC71-4AFC-A393-047A1797CEB9}"/>
  <bookViews>
    <workbookView xWindow="1688" yWindow="2670" windowWidth="16200" windowHeight="9307" firstSheet="2" activeTab="3" xr2:uid="{00000000-000D-0000-FFFF-FFFF00000000}"/>
  </bookViews>
  <sheets>
    <sheet name="Aria (tubo aperto)" sheetId="1" r:id="rId1"/>
    <sheet name="Ventri e nodi" sheetId="2" r:id="rId2"/>
    <sheet name="Aria (tubo semi-chiuso)" sheetId="3" r:id="rId3"/>
    <sheet name="Argon e kripton (tubo chiuso)" sheetId="4" r:id="rId4"/>
    <sheet name="Onde quadre-riflessione" sheetId="5" r:id="rId5"/>
    <sheet name="Ampiezza e fase" sheetId="6" r:id="rId6"/>
  </sheets>
  <definedNames>
    <definedName name="_xlnm._FilterDatabase" localSheetId="5" hidden="1">'Ampiezza e fase'!$A$1:$C$9</definedName>
    <definedName name="BF.CURVE_FIT">_xlfn.LAMBDA(_xlpm.model_expr,_xlpm.xdata,_xlpm.ydata,_xlop.guess,_xlop.bounds,_xlop.curve_fit_method, _xldudf_BOARDFLARE_EXEC("curve_fit", _xlpm.model_expr, _xlpm.xdata, _xlpm.ydata, _xludf.IF(_xlfn.ISOMITTED(_xlpm.guess), "__OMITTED__", _xlpm.guess), _xludf.IF(_xlfn.ISOMITTED(_xlpm.bounds), "__OMITTED__", _xlpm.bounds), _xludf.IF(_xlfn.ISOMITTED(_xlpm.curve_fit_method), "__OMITTED__", _xlpm.curve_fit_method)))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4" i="2"/>
  <c r="F3" i="2"/>
  <c r="F2" i="2"/>
  <c r="E2" i="2"/>
  <c r="E2" i="4" a="1"/>
  <c r="E2" i="4" s="1"/>
  <c r="E8" i="5"/>
  <c r="E7" i="5"/>
  <c r="E6" i="5"/>
  <c r="E5" i="5"/>
  <c r="E4" i="5"/>
  <c r="E3" i="5"/>
  <c r="E2" i="5"/>
  <c r="F6" i="2"/>
  <c r="F7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<sst xmlns="http://schemas.openxmlformats.org/spreadsheetml/2006/main" count="66" uniqueCount="38">
  <si>
    <t>n</t>
  </si>
  <si>
    <t>Frequenza (hz)</t>
  </si>
  <si>
    <t>Incertezza (hz)</t>
  </si>
  <si>
    <t>D diametro del tubo aperto</t>
  </si>
  <si>
    <t>Temperatura stanza (k)</t>
  </si>
  <si>
    <t>Incertezza (m)</t>
  </si>
  <si>
    <t>Incertezza temperatura (k)</t>
  </si>
  <si>
    <t>Lunghezza tubo (m)</t>
  </si>
  <si>
    <t>Massa molare aria (kg/mol)</t>
  </si>
  <si>
    <t>Incertezza (kg/mol)</t>
  </si>
  <si>
    <t>γ</t>
  </si>
  <si>
    <t>R gas ideale</t>
  </si>
  <si>
    <t>n=4</t>
  </si>
  <si>
    <t>Distanza (m)</t>
  </si>
  <si>
    <t>λ_n teorica</t>
  </si>
  <si>
    <t>λ_n/2 osservata</t>
  </si>
  <si>
    <t>V suono (m/s)</t>
  </si>
  <si>
    <t>Ventri</t>
  </si>
  <si>
    <t>Nodi</t>
  </si>
  <si>
    <t>Media</t>
  </si>
  <si>
    <t>λ_n sperimentale</t>
  </si>
  <si>
    <t>80 cm</t>
  </si>
  <si>
    <t>65 cm</t>
  </si>
  <si>
    <t>55 cm</t>
  </si>
  <si>
    <t xml:space="preserve">Distanza dal tubo </t>
  </si>
  <si>
    <t>1,5 cm</t>
  </si>
  <si>
    <t>Argon</t>
  </si>
  <si>
    <t>Kripton</t>
  </si>
  <si>
    <t>L (m)</t>
  </si>
  <si>
    <t>T (K)</t>
  </si>
  <si>
    <t>Massa molare (kg/mol)</t>
  </si>
  <si>
    <t>x (m)</t>
  </si>
  <si>
    <t>sx (m)</t>
  </si>
  <si>
    <t>Delta T_1</t>
  </si>
  <si>
    <t>Delta T_2</t>
  </si>
  <si>
    <t>Δt medio (s)</t>
  </si>
  <si>
    <t>Ampiezza  (V)</t>
  </si>
  <si>
    <t>Δt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</si>
</sst>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0"/>
    <numFmt numFmtId="166" formatCode="#,##0.000000000"/>
    <numFmt numFmtId="167" formatCode="0.000"/>
    <numFmt numFmtId="168" formatCode="#,##0.00000"/>
    <numFmt numFmtId="169" formatCode="0.00000"/>
  </numFmts>
  <fonts count="3">
    <font>
      <sz val="11"/>
      <color theme="1"/>
      <name val="Aptos Narrow"/>
      <scheme val="minor"/>
    </font>
    <font>
      <u/>
      <sz val="11"/>
      <color theme="1"/>
      <name val="Aptos Narrow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7"/>
      </patternFill>
    </fill>
  </fills>
  <borders count="1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3" borderId="0" xfId="0" applyFill="1"/>
    <xf numFmtId="1" fontId="0" fillId="0" borderId="1" xfId="0" applyNumberFormat="1" applyBorder="1"/>
    <xf numFmtId="0" fontId="0" fillId="0" borderId="3" xfId="0" applyBorder="1"/>
    <xf numFmtId="0" fontId="0" fillId="0" borderId="4" xfId="0" applyBorder="1"/>
    <xf numFmtId="164" fontId="0" fillId="0" borderId="5" xfId="0" applyNumberFormat="1" applyBorder="1"/>
    <xf numFmtId="1" fontId="0" fillId="0" borderId="4" xfId="0" applyNumberFormat="1" applyBorder="1"/>
    <xf numFmtId="0" fontId="0" fillId="0" borderId="6" xfId="0" applyBorder="1"/>
    <xf numFmtId="0" fontId="0" fillId="2" borderId="4" xfId="0" applyFill="1" applyBorder="1"/>
    <xf numFmtId="0" fontId="0" fillId="2" borderId="5" xfId="0" applyFill="1" applyBorder="1"/>
    <xf numFmtId="0" fontId="0" fillId="0" borderId="5" xfId="0" applyBorder="1"/>
    <xf numFmtId="1" fontId="0" fillId="0" borderId="7" xfId="0" applyNumberFormat="1" applyBorder="1"/>
    <xf numFmtId="0" fontId="0" fillId="0" borderId="8" xfId="0" applyBorder="1"/>
    <xf numFmtId="2" fontId="0" fillId="0" borderId="4" xfId="0" applyNumberFormat="1" applyBorder="1"/>
    <xf numFmtId="165" fontId="0" fillId="0" borderId="5" xfId="0" applyNumberFormat="1" applyBorder="1"/>
    <xf numFmtId="0" fontId="0" fillId="0" borderId="7" xfId="0" applyBorder="1"/>
    <xf numFmtId="0" fontId="1" fillId="2" borderId="5" xfId="0" applyFont="1" applyFill="1" applyBorder="1"/>
    <xf numFmtId="166" fontId="1" fillId="0" borderId="9" xfId="0" applyNumberFormat="1" applyFont="1" applyBorder="1"/>
    <xf numFmtId="0" fontId="0" fillId="4" borderId="0" xfId="0" applyFill="1"/>
    <xf numFmtId="0" fontId="0" fillId="3" borderId="1" xfId="0" applyFill="1" applyBorder="1"/>
    <xf numFmtId="0" fontId="0" fillId="3" borderId="10" xfId="0" applyFill="1" applyBorder="1"/>
    <xf numFmtId="0" fontId="0" fillId="3" borderId="3" xfId="0" applyFill="1" applyBorder="1"/>
    <xf numFmtId="0" fontId="0" fillId="3" borderId="11" xfId="0" applyFill="1" applyBorder="1"/>
    <xf numFmtId="0" fontId="0" fillId="3" borderId="12" xfId="0" applyFill="1" applyBorder="1"/>
    <xf numFmtId="12" fontId="0" fillId="0" borderId="1" xfId="0" applyNumberFormat="1" applyBorder="1" applyAlignment="1">
      <alignment horizontal="right"/>
    </xf>
    <xf numFmtId="167" fontId="0" fillId="0" borderId="10" xfId="0" applyNumberFormat="1" applyBorder="1"/>
    <xf numFmtId="167" fontId="0" fillId="0" borderId="0" xfId="0" applyNumberFormat="1"/>
    <xf numFmtId="167" fontId="0" fillId="0" borderId="6" xfId="0" applyNumberFormat="1" applyBorder="1"/>
    <xf numFmtId="168" fontId="2" fillId="0" borderId="4" xfId="0" applyNumberFormat="1" applyFont="1" applyBorder="1" applyAlignment="1">
      <alignment vertical="center"/>
    </xf>
    <xf numFmtId="12" fontId="0" fillId="0" borderId="4" xfId="0" applyNumberFormat="1" applyBorder="1" applyAlignment="1">
      <alignment horizontal="right"/>
    </xf>
    <xf numFmtId="12" fontId="0" fillId="0" borderId="7" xfId="0" applyNumberFormat="1" applyBorder="1" applyAlignment="1">
      <alignment horizontal="right"/>
    </xf>
    <xf numFmtId="167" fontId="0" fillId="0" borderId="13" xfId="0" applyNumberFormat="1" applyBorder="1"/>
    <xf numFmtId="12" fontId="0" fillId="0" borderId="4" xfId="0" applyNumberFormat="1" applyBorder="1"/>
    <xf numFmtId="167" fontId="0" fillId="0" borderId="3" xfId="0" applyNumberFormat="1" applyBorder="1"/>
    <xf numFmtId="12" fontId="0" fillId="0" borderId="7" xfId="0" applyNumberFormat="1" applyBorder="1"/>
    <xf numFmtId="0" fontId="0" fillId="2" borderId="7" xfId="0" applyFill="1" applyBorder="1"/>
    <xf numFmtId="167" fontId="0" fillId="0" borderId="8" xfId="0" applyNumberFormat="1" applyBorder="1"/>
    <xf numFmtId="164" fontId="0" fillId="0" borderId="0" xfId="0" applyNumberFormat="1"/>
    <xf numFmtId="0" fontId="0" fillId="0" borderId="1" xfId="0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2" borderId="3" xfId="0" applyFill="1" applyBorder="1"/>
    <xf numFmtId="0" fontId="0" fillId="3" borderId="2" xfId="0" applyFill="1" applyBorder="1"/>
    <xf numFmtId="0" fontId="0" fillId="0" borderId="10" xfId="0" applyBorder="1"/>
    <xf numFmtId="1" fontId="0" fillId="0" borderId="10" xfId="0" applyNumberFormat="1" applyBorder="1"/>
    <xf numFmtId="0" fontId="0" fillId="2" borderId="6" xfId="0" applyFill="1" applyBorder="1"/>
    <xf numFmtId="0" fontId="0" fillId="3" borderId="5" xfId="0" applyFill="1" applyBorder="1"/>
    <xf numFmtId="1" fontId="0" fillId="0" borderId="0" xfId="0" applyNumberFormat="1"/>
    <xf numFmtId="0" fontId="0" fillId="3" borderId="9" xfId="0" applyFill="1" applyBorder="1"/>
    <xf numFmtId="0" fontId="0" fillId="0" borderId="13" xfId="0" applyBorder="1"/>
    <xf numFmtId="1" fontId="0" fillId="0" borderId="13" xfId="0" applyNumberFormat="1" applyBorder="1"/>
    <xf numFmtId="0" fontId="0" fillId="2" borderId="11" xfId="0" applyFill="1" applyBorder="1"/>
    <xf numFmtId="0" fontId="0" fillId="2" borderId="10" xfId="0" applyFill="1" applyBorder="1"/>
    <xf numFmtId="0" fontId="0" fillId="3" borderId="4" xfId="0" applyFill="1" applyBorder="1"/>
    <xf numFmtId="0" fontId="0" fillId="0" borderId="2" xfId="0" applyBorder="1"/>
    <xf numFmtId="0" fontId="0" fillId="3" borderId="6" xfId="0" applyFill="1" applyBorder="1"/>
    <xf numFmtId="164" fontId="0" fillId="0" borderId="6" xfId="0" applyNumberFormat="1" applyBorder="1"/>
    <xf numFmtId="0" fontId="0" fillId="3" borderId="7" xfId="0" applyFill="1" applyBorder="1"/>
    <xf numFmtId="0" fontId="0" fillId="3" borderId="8" xfId="0" applyFill="1" applyBorder="1"/>
    <xf numFmtId="165" fontId="0" fillId="0" borderId="9" xfId="0" applyNumberFormat="1" applyBorder="1"/>
    <xf numFmtId="0" fontId="0" fillId="2" borderId="9" xfId="0" applyFill="1" applyBorder="1"/>
    <xf numFmtId="12" fontId="0" fillId="0" borderId="9" xfId="0" applyNumberFormat="1" applyBorder="1"/>
    <xf numFmtId="2" fontId="0" fillId="0" borderId="0" xfId="0" applyNumberFormat="1"/>
    <xf numFmtId="165" fontId="0" fillId="0" borderId="6" xfId="0" applyNumberFormat="1" applyBorder="1"/>
    <xf numFmtId="2" fontId="0" fillId="0" borderId="13" xfId="0" applyNumberFormat="1" applyBorder="1"/>
    <xf numFmtId="165" fontId="0" fillId="0" borderId="8" xfId="0" applyNumberFormat="1" applyBorder="1"/>
    <xf numFmtId="169" fontId="0" fillId="0" borderId="3" xfId="0" applyNumberFormat="1" applyBorder="1"/>
    <xf numFmtId="169" fontId="0" fillId="0" borderId="0" xfId="0" applyNumberFormat="1"/>
    <xf numFmtId="169" fontId="0" fillId="0" borderId="6" xfId="0" applyNumberFormat="1" applyBorder="1"/>
    <xf numFmtId="169" fontId="0" fillId="0" borderId="8" xfId="0" applyNumberFormat="1" applyBorder="1"/>
    <xf numFmtId="0" fontId="0" fillId="0" borderId="9" xfId="0" applyBorder="1"/>
    <xf numFmtId="0" fontId="0" fillId="5" borderId="0" xfId="0" applyFill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D461B2C-B42A-43C4-9A45-029F23DFB1CD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</row>
    <row r="2" spans="1:5">
      <c r="A2" s="4">
        <v>1</v>
      </c>
      <c r="B2" s="5">
        <v>190</v>
      </c>
      <c r="C2" s="6">
        <v>5</v>
      </c>
      <c r="D2" s="7">
        <v>3.5000000000000003E-2</v>
      </c>
      <c r="E2" s="8">
        <v>296.14999999999998</v>
      </c>
    </row>
    <row r="3" spans="1:5">
      <c r="A3" s="4">
        <v>2</v>
      </c>
      <c r="B3" s="9">
        <v>381</v>
      </c>
      <c r="C3" s="10">
        <v>5</v>
      </c>
      <c r="D3" s="11" t="s">
        <v>5</v>
      </c>
      <c r="E3" s="12" t="s">
        <v>6</v>
      </c>
    </row>
    <row r="4" spans="1:5">
      <c r="A4" s="4">
        <v>3</v>
      </c>
      <c r="B4" s="9">
        <v>561</v>
      </c>
      <c r="C4" s="10">
        <v>5</v>
      </c>
      <c r="D4" s="7">
        <v>5.0000000000000001E-3</v>
      </c>
      <c r="E4" s="13">
        <v>0.5</v>
      </c>
    </row>
    <row r="5" spans="1:5">
      <c r="A5" s="4">
        <v>4</v>
      </c>
      <c r="B5" s="9">
        <v>760</v>
      </c>
      <c r="C5" s="10">
        <v>5</v>
      </c>
      <c r="D5" s="11" t="s">
        <v>7</v>
      </c>
      <c r="E5" s="12" t="s">
        <v>8</v>
      </c>
    </row>
    <row r="6" spans="1:5">
      <c r="A6" s="4">
        <v>5</v>
      </c>
      <c r="B6" s="14">
        <v>936</v>
      </c>
      <c r="C6" s="15">
        <v>5</v>
      </c>
      <c r="D6" s="16">
        <v>0.9</v>
      </c>
      <c r="E6" s="17">
        <v>2.8964699999999999E-2</v>
      </c>
    </row>
    <row r="7" spans="1:5">
      <c r="D7" s="11" t="s">
        <v>5</v>
      </c>
      <c r="E7" s="12" t="s">
        <v>9</v>
      </c>
    </row>
    <row r="8" spans="1:5">
      <c r="D8" s="18">
        <v>0.01</v>
      </c>
      <c r="E8" s="13">
        <v>5.0000000000000001E-4</v>
      </c>
    </row>
    <row r="9" spans="1:5">
      <c r="E9" s="12" t="s">
        <v>10</v>
      </c>
    </row>
    <row r="10" spans="1:5">
      <c r="E10" s="13">
        <v>1.4</v>
      </c>
    </row>
    <row r="11" spans="1:5">
      <c r="E11" s="19" t="s">
        <v>11</v>
      </c>
    </row>
    <row r="12" spans="1:5">
      <c r="E12" s="20">
        <v>8.3144626180000003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F5" sqref="F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>
      <c r="A1" s="21" t="s">
        <v>12</v>
      </c>
      <c r="B1" s="22" t="s">
        <v>0</v>
      </c>
      <c r="C1" s="23" t="s">
        <v>13</v>
      </c>
      <c r="D1" s="24" t="s">
        <v>5</v>
      </c>
      <c r="E1" s="25" t="s">
        <v>14</v>
      </c>
      <c r="F1" s="26" t="s">
        <v>15</v>
      </c>
      <c r="G1" s="2" t="s">
        <v>16</v>
      </c>
    </row>
    <row r="2" spans="1:7">
      <c r="A2" s="78" t="s">
        <v>17</v>
      </c>
      <c r="B2" s="27">
        <v>2</v>
      </c>
      <c r="C2" s="28">
        <v>0.34499999999999997</v>
      </c>
      <c r="D2" s="6">
        <v>5.0000000000000001E-3</v>
      </c>
      <c r="E2" s="29">
        <f>G2/G4</f>
        <v>0.45392998684210523</v>
      </c>
      <c r="F2" s="30">
        <f>C4-C3</f>
        <v>0.22799999999999998</v>
      </c>
      <c r="G2" s="31">
        <v>344.98678999999998</v>
      </c>
    </row>
    <row r="3" spans="1:7">
      <c r="A3" s="79"/>
      <c r="B3" s="32">
        <v>3</v>
      </c>
      <c r="C3" s="29">
        <v>0.56000000000000005</v>
      </c>
      <c r="D3" s="10">
        <v>5.0000000000000001E-3</v>
      </c>
      <c r="F3" s="30">
        <f>C7-C6</f>
        <v>0.22500000000000003</v>
      </c>
      <c r="G3" s="11" t="s">
        <v>1</v>
      </c>
    </row>
    <row r="4" spans="1:7">
      <c r="A4" s="80"/>
      <c r="B4" s="33">
        <v>4</v>
      </c>
      <c r="C4" s="34">
        <v>0.78800000000000003</v>
      </c>
      <c r="D4" s="15">
        <v>5.0000000000000001E-3</v>
      </c>
      <c r="F4" s="30">
        <f>C6-C5</f>
        <v>0.22</v>
      </c>
      <c r="G4" s="18">
        <v>760</v>
      </c>
    </row>
    <row r="5" spans="1:7">
      <c r="A5" s="78" t="s">
        <v>18</v>
      </c>
      <c r="B5" s="35">
        <v>1</v>
      </c>
      <c r="C5" s="29">
        <v>0.23</v>
      </c>
      <c r="D5" s="10">
        <v>5.0000000000000001E-3</v>
      </c>
      <c r="E5" s="7"/>
      <c r="F5" s="30">
        <f>C3-C2</f>
        <v>0.21500000000000008</v>
      </c>
    </row>
    <row r="6" spans="1:7">
      <c r="A6" s="79"/>
      <c r="B6" s="35">
        <v>2</v>
      </c>
      <c r="C6" s="29">
        <v>0.45</v>
      </c>
      <c r="D6" s="10">
        <v>5.0000000000000001E-3</v>
      </c>
      <c r="E6" s="2" t="s">
        <v>19</v>
      </c>
      <c r="F6" s="36">
        <f>AVERAGE(F2:F5)</f>
        <v>0.22200000000000003</v>
      </c>
    </row>
    <row r="7" spans="1:7">
      <c r="A7" s="80"/>
      <c r="B7" s="37">
        <v>3</v>
      </c>
      <c r="C7" s="34">
        <v>0.67500000000000004</v>
      </c>
      <c r="D7" s="15">
        <v>5.0000000000000001E-3</v>
      </c>
      <c r="E7" s="38" t="s">
        <v>20</v>
      </c>
      <c r="F7" s="39">
        <f>2*F6</f>
        <v>0.44400000000000006</v>
      </c>
    </row>
    <row r="11" spans="1:7">
      <c r="C11" s="40"/>
    </row>
  </sheetData>
  <mergeCells count="2">
    <mergeCell ref="A2:A4"/>
    <mergeCell ref="A5:A7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"/>
  <sheetViews>
    <sheetView workbookViewId="0">
      <selection activeCell="L10" sqref="L10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41"/>
      <c r="B1" s="81" t="s">
        <v>21</v>
      </c>
      <c r="C1" s="82"/>
      <c r="D1" s="83" t="s">
        <v>22</v>
      </c>
      <c r="E1" s="82"/>
      <c r="F1" s="84" t="s">
        <v>23</v>
      </c>
      <c r="G1" s="85"/>
      <c r="H1" s="3" t="s">
        <v>4</v>
      </c>
      <c r="I1" s="3" t="s">
        <v>24</v>
      </c>
    </row>
    <row r="2" spans="1:9" ht="14.65" thickBot="1">
      <c r="A2" s="42" t="s">
        <v>0</v>
      </c>
      <c r="B2" s="43" t="s">
        <v>1</v>
      </c>
      <c r="C2" s="44" t="s">
        <v>2</v>
      </c>
      <c r="D2" s="2" t="s">
        <v>1</v>
      </c>
      <c r="E2" s="45" t="s">
        <v>2</v>
      </c>
      <c r="F2" s="2" t="s">
        <v>1</v>
      </c>
      <c r="G2" s="45" t="s">
        <v>2</v>
      </c>
      <c r="H2" s="8">
        <v>294.64999999999998</v>
      </c>
      <c r="I2" s="74" t="s">
        <v>25</v>
      </c>
    </row>
    <row r="3" spans="1:9">
      <c r="A3" s="46">
        <v>1</v>
      </c>
      <c r="B3" s="5">
        <v>105</v>
      </c>
      <c r="C3" s="47">
        <v>5</v>
      </c>
      <c r="D3" s="5">
        <v>129</v>
      </c>
      <c r="E3" s="6">
        <v>5</v>
      </c>
      <c r="F3" s="48">
        <v>151</v>
      </c>
      <c r="G3" s="6">
        <v>5</v>
      </c>
      <c r="H3" s="49" t="s">
        <v>6</v>
      </c>
    </row>
    <row r="4" spans="1:9">
      <c r="A4" s="50">
        <v>3</v>
      </c>
      <c r="B4" s="9">
        <v>316</v>
      </c>
      <c r="C4">
        <v>5</v>
      </c>
      <c r="D4" s="9">
        <v>387</v>
      </c>
      <c r="E4" s="10">
        <v>5</v>
      </c>
      <c r="F4" s="51">
        <v>457</v>
      </c>
      <c r="G4" s="10">
        <v>5</v>
      </c>
      <c r="H4" s="15">
        <v>0.5</v>
      </c>
    </row>
    <row r="5" spans="1:9">
      <c r="A5" s="50">
        <v>5</v>
      </c>
      <c r="B5" s="9">
        <v>526</v>
      </c>
      <c r="C5">
        <v>5</v>
      </c>
      <c r="D5" s="9">
        <v>646</v>
      </c>
      <c r="E5" s="10">
        <v>5</v>
      </c>
      <c r="F5" s="51">
        <v>760</v>
      </c>
      <c r="G5" s="10">
        <v>5</v>
      </c>
    </row>
    <row r="6" spans="1:9">
      <c r="A6" s="50">
        <v>7</v>
      </c>
      <c r="B6" s="9">
        <v>737</v>
      </c>
      <c r="C6">
        <v>5</v>
      </c>
      <c r="D6" s="9">
        <v>904</v>
      </c>
      <c r="E6" s="10">
        <v>5</v>
      </c>
      <c r="F6" s="51">
        <v>1063</v>
      </c>
      <c r="G6" s="10">
        <v>5</v>
      </c>
    </row>
    <row r="7" spans="1:9">
      <c r="A7" s="50">
        <v>9</v>
      </c>
      <c r="B7" s="9">
        <v>949</v>
      </c>
      <c r="C7">
        <v>5</v>
      </c>
      <c r="D7" s="9">
        <v>1163</v>
      </c>
      <c r="E7" s="10">
        <v>5</v>
      </c>
      <c r="F7" s="51">
        <v>1380</v>
      </c>
      <c r="G7" s="10">
        <v>5</v>
      </c>
    </row>
    <row r="8" spans="1:9">
      <c r="A8" s="52">
        <v>11</v>
      </c>
      <c r="B8" s="14">
        <v>1155</v>
      </c>
      <c r="C8" s="53">
        <v>5</v>
      </c>
      <c r="D8" s="14">
        <v>1430</v>
      </c>
      <c r="E8" s="15">
        <v>5</v>
      </c>
      <c r="F8" s="54">
        <v>1680</v>
      </c>
      <c r="G8" s="15">
        <v>5</v>
      </c>
    </row>
  </sheetData>
  <mergeCells count="3">
    <mergeCell ref="B1:C1"/>
    <mergeCell ref="D1:E1"/>
    <mergeCell ref="F1:G1"/>
  </mergeCell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tabSelected="1" workbookViewId="0">
      <selection activeCell="G26" sqref="G26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>
      <c r="A1" s="75" t="s">
        <v>26</v>
      </c>
      <c r="B1" s="75"/>
      <c r="C1" s="75"/>
      <c r="D1" s="75"/>
      <c r="E1" s="76" t="s">
        <v>27</v>
      </c>
      <c r="F1" s="76"/>
      <c r="G1" s="76"/>
      <c r="H1" s="77"/>
    </row>
    <row r="2" spans="1:8">
      <c r="A2" s="55" t="s">
        <v>0</v>
      </c>
      <c r="B2" s="43" t="s">
        <v>1</v>
      </c>
      <c r="C2" s="43" t="s">
        <v>2</v>
      </c>
      <c r="D2" s="42" t="s">
        <v>28</v>
      </c>
      <c r="E2" s="56" t="str" cm="1">
        <f t="array" aca="1" ref="E2" ca="1">BF.CURVE_FIT(E3:E8,F3:F9,G3:G7)</f>
        <v>Error: Invalid input: model_expr must be a string.</v>
      </c>
      <c r="F2" s="56" t="s">
        <v>1</v>
      </c>
      <c r="G2" s="56" t="s">
        <v>2</v>
      </c>
      <c r="H2" s="3" t="s">
        <v>28</v>
      </c>
    </row>
    <row r="3" spans="1:8">
      <c r="A3" s="57">
        <v>1</v>
      </c>
      <c r="B3" s="51">
        <v>112</v>
      </c>
      <c r="C3" s="6">
        <v>5</v>
      </c>
      <c r="D3" s="58">
        <v>1.46</v>
      </c>
      <c r="E3" s="24">
        <v>1</v>
      </c>
      <c r="F3" s="5">
        <v>94</v>
      </c>
      <c r="G3" s="6">
        <v>5</v>
      </c>
      <c r="H3" s="10">
        <v>1.454</v>
      </c>
    </row>
    <row r="4" spans="1:8">
      <c r="A4" s="57">
        <v>2</v>
      </c>
      <c r="B4" s="51">
        <v>225</v>
      </c>
      <c r="C4" s="10">
        <v>5</v>
      </c>
      <c r="D4" s="12" t="s">
        <v>29</v>
      </c>
      <c r="E4" s="59">
        <v>2</v>
      </c>
      <c r="F4" s="9">
        <v>188</v>
      </c>
      <c r="G4" s="10">
        <v>5</v>
      </c>
      <c r="H4" s="45" t="s">
        <v>29</v>
      </c>
    </row>
    <row r="5" spans="1:8">
      <c r="A5" s="57">
        <v>3</v>
      </c>
      <c r="B5" s="51">
        <v>338</v>
      </c>
      <c r="C5" s="10">
        <v>5</v>
      </c>
      <c r="D5" s="8">
        <v>295.64999999999998</v>
      </c>
      <c r="E5" s="59">
        <v>3</v>
      </c>
      <c r="F5" s="9">
        <v>282</v>
      </c>
      <c r="G5" s="10">
        <v>5</v>
      </c>
      <c r="H5" s="60">
        <v>295.14999999999998</v>
      </c>
    </row>
    <row r="6" spans="1:8">
      <c r="A6" s="57">
        <v>4</v>
      </c>
      <c r="B6" s="51">
        <v>450</v>
      </c>
      <c r="C6" s="10">
        <v>5</v>
      </c>
      <c r="D6" s="12" t="s">
        <v>6</v>
      </c>
      <c r="E6" s="59">
        <v>4</v>
      </c>
      <c r="F6" s="9">
        <v>375</v>
      </c>
      <c r="G6" s="10">
        <v>5</v>
      </c>
      <c r="H6" s="49" t="s">
        <v>6</v>
      </c>
    </row>
    <row r="7" spans="1:8">
      <c r="A7" s="57">
        <v>5</v>
      </c>
      <c r="B7" s="51">
        <v>562</v>
      </c>
      <c r="C7" s="10">
        <v>5</v>
      </c>
      <c r="D7" s="13">
        <v>0.5</v>
      </c>
      <c r="E7" s="59">
        <v>5</v>
      </c>
      <c r="F7" s="9">
        <v>469</v>
      </c>
      <c r="G7" s="10">
        <v>5</v>
      </c>
      <c r="H7" s="10">
        <v>0.5</v>
      </c>
    </row>
    <row r="8" spans="1:8">
      <c r="A8" s="61">
        <v>6</v>
      </c>
      <c r="B8" s="54">
        <v>676</v>
      </c>
      <c r="C8" s="15">
        <v>5</v>
      </c>
      <c r="D8" s="12" t="s">
        <v>30</v>
      </c>
      <c r="E8" s="62">
        <v>6</v>
      </c>
      <c r="F8" s="14">
        <v>560</v>
      </c>
      <c r="G8" s="15">
        <v>5</v>
      </c>
      <c r="H8" s="45" t="s">
        <v>30</v>
      </c>
    </row>
    <row r="9" spans="1:8">
      <c r="D9" s="63">
        <v>3.9947999999999997E-2</v>
      </c>
      <c r="H9" s="63">
        <v>8.3797999999999997E-2</v>
      </c>
    </row>
    <row r="10" spans="1:8">
      <c r="D10" s="12" t="s">
        <v>9</v>
      </c>
      <c r="H10" s="12" t="s">
        <v>9</v>
      </c>
    </row>
    <row r="11" spans="1:8">
      <c r="D11" s="13">
        <v>5.0000000000000001E-4</v>
      </c>
      <c r="H11" s="13">
        <v>5.0000000000000001E-4</v>
      </c>
    </row>
    <row r="12" spans="1:8">
      <c r="D12" s="64" t="s">
        <v>10</v>
      </c>
      <c r="H12" s="12" t="s">
        <v>10</v>
      </c>
    </row>
    <row r="13" spans="1:8">
      <c r="D13" s="65">
        <v>1.6666666666666667</v>
      </c>
      <c r="H13" s="65">
        <v>1.6666666666666667</v>
      </c>
    </row>
  </sheetData>
  <mergeCells count="2">
    <mergeCell ref="A1:D1"/>
    <mergeCell ref="E1:H1"/>
  </mergeCell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>
      <selection activeCell="G13" sqref="G13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22" t="s">
        <v>31</v>
      </c>
      <c r="B1" s="23" t="s">
        <v>32</v>
      </c>
      <c r="C1" s="23" t="s">
        <v>33</v>
      </c>
      <c r="D1" s="23" t="s">
        <v>34</v>
      </c>
      <c r="E1" s="24" t="s">
        <v>35</v>
      </c>
    </row>
    <row r="2" spans="1:5">
      <c r="A2" s="7">
        <v>1.57</v>
      </c>
      <c r="B2" s="66">
        <v>5.0000000000000001E-3</v>
      </c>
      <c r="C2">
        <v>4.4999999999999997E-3</v>
      </c>
      <c r="D2">
        <v>4.4999999999999997E-3</v>
      </c>
      <c r="E2" s="67">
        <f t="shared" ref="E2:E8" si="0">AVERAGE(C2:D2)</f>
        <v>4.4999999999999997E-3</v>
      </c>
    </row>
    <row r="3" spans="1:5">
      <c r="A3" s="7">
        <v>1.37</v>
      </c>
      <c r="B3" s="66">
        <v>5.0000000000000001E-3</v>
      </c>
      <c r="C3">
        <v>3.9199999999999999E-3</v>
      </c>
      <c r="D3">
        <v>3.9199999999999999E-3</v>
      </c>
      <c r="E3" s="67">
        <f t="shared" si="0"/>
        <v>3.9199999999999999E-3</v>
      </c>
    </row>
    <row r="4" spans="1:5">
      <c r="A4" s="7">
        <v>1.17</v>
      </c>
      <c r="B4" s="66">
        <v>5.0000000000000001E-3</v>
      </c>
      <c r="C4">
        <v>3.3600000000000001E-3</v>
      </c>
      <c r="D4">
        <v>3.3500000000000001E-3</v>
      </c>
      <c r="E4" s="67">
        <f t="shared" si="0"/>
        <v>3.3550000000000003E-3</v>
      </c>
    </row>
    <row r="5" spans="1:5">
      <c r="A5" s="7">
        <v>0.97</v>
      </c>
      <c r="B5" s="66">
        <v>5.0000000000000001E-3</v>
      </c>
      <c r="C5">
        <v>2.7899999999999999E-3</v>
      </c>
      <c r="D5">
        <v>2.7699999999999999E-3</v>
      </c>
      <c r="E5" s="67">
        <f t="shared" si="0"/>
        <v>2.7799999999999999E-3</v>
      </c>
    </row>
    <row r="6" spans="1:5">
      <c r="A6" s="7">
        <v>0.77</v>
      </c>
      <c r="B6" s="66">
        <v>5.0000000000000001E-3</v>
      </c>
      <c r="C6">
        <v>2.2000000000000001E-3</v>
      </c>
      <c r="D6">
        <v>2.2000000000000001E-3</v>
      </c>
      <c r="E6" s="67">
        <f t="shared" si="0"/>
        <v>2.2000000000000001E-3</v>
      </c>
    </row>
    <row r="7" spans="1:5">
      <c r="A7" s="7">
        <v>0.56999999999999995</v>
      </c>
      <c r="B7" s="66">
        <v>5.0000000000000001E-3</v>
      </c>
      <c r="C7">
        <v>1.6199999999999999E-3</v>
      </c>
      <c r="D7">
        <v>1.6199999999999999E-3</v>
      </c>
      <c r="E7" s="67">
        <f t="shared" si="0"/>
        <v>1.6199999999999999E-3</v>
      </c>
    </row>
    <row r="8" spans="1:5">
      <c r="A8" s="18">
        <v>0.37</v>
      </c>
      <c r="B8" s="68">
        <v>5.0000000000000001E-3</v>
      </c>
      <c r="C8" s="53">
        <v>1.0499999999999999E-3</v>
      </c>
      <c r="D8" s="53">
        <v>1.0399999999999999E-3</v>
      </c>
      <c r="E8" s="69">
        <f t="shared" si="0"/>
        <v>1.0449999999999999E-3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9"/>
  <sheetViews>
    <sheetView workbookViewId="0">
      <selection activeCell="F16" sqref="F16"/>
    </sheetView>
  </sheetViews>
  <sheetFormatPr defaultRowHeight="14.25"/>
  <cols>
    <col min="1" max="1" width="12.19921875" bestFit="1" customWidth="1"/>
    <col min="2" max="2" width="11.06640625" bestFit="1" customWidth="1"/>
    <col min="3" max="3" width="10.265625" bestFit="1" customWidth="1"/>
  </cols>
  <sheetData>
    <row r="1" spans="1:4">
      <c r="A1" s="2" t="s">
        <v>1</v>
      </c>
      <c r="B1" s="56" t="s">
        <v>36</v>
      </c>
      <c r="C1" s="45" t="s">
        <v>37</v>
      </c>
    </row>
    <row r="2" spans="1:4">
      <c r="A2" s="41">
        <v>222</v>
      </c>
      <c r="B2" s="47">
        <v>0.05</v>
      </c>
      <c r="C2" s="70">
        <v>6.4000000000000005E-4</v>
      </c>
      <c r="D2" s="71"/>
    </row>
    <row r="3" spans="1:4">
      <c r="A3" s="7">
        <v>232</v>
      </c>
      <c r="B3">
        <v>7.0000000000000007E-2</v>
      </c>
      <c r="C3" s="72">
        <v>5.2999999999999998E-4</v>
      </c>
      <c r="D3" s="71"/>
    </row>
    <row r="4" spans="1:4">
      <c r="A4" s="7">
        <v>242</v>
      </c>
      <c r="B4" s="29">
        <v>0.09</v>
      </c>
      <c r="C4" s="72">
        <v>4.0000000000000002E-4</v>
      </c>
      <c r="D4" s="71"/>
    </row>
    <row r="5" spans="1:4">
      <c r="A5" s="7">
        <v>252</v>
      </c>
      <c r="B5" s="29">
        <v>0.16400000000000001</v>
      </c>
      <c r="C5" s="72">
        <v>4.2999999999999999E-4</v>
      </c>
      <c r="D5" s="71"/>
    </row>
    <row r="6" spans="1:4">
      <c r="A6" s="7">
        <v>262</v>
      </c>
      <c r="B6" s="29">
        <v>0.20599999999999999</v>
      </c>
      <c r="C6" s="72">
        <v>5.5000000000000003E-4</v>
      </c>
      <c r="D6" s="71"/>
    </row>
    <row r="7" spans="1:4">
      <c r="A7" s="7">
        <v>272</v>
      </c>
      <c r="B7" s="29">
        <v>0.27</v>
      </c>
      <c r="C7" s="72">
        <v>5.8E-4</v>
      </c>
      <c r="D7" s="71"/>
    </row>
    <row r="8" spans="1:4">
      <c r="A8" s="57">
        <v>282</v>
      </c>
      <c r="B8" s="29">
        <v>0.32200000000000001</v>
      </c>
      <c r="C8" s="72">
        <v>6.8999999999999997E-4</v>
      </c>
      <c r="D8" s="71"/>
    </row>
    <row r="9" spans="1:4">
      <c r="A9" s="7">
        <v>292</v>
      </c>
      <c r="B9" s="29">
        <v>0.27800000000000002</v>
      </c>
      <c r="C9" s="72">
        <v>9.5E-4</v>
      </c>
      <c r="D9" s="71"/>
    </row>
    <row r="10" spans="1:4">
      <c r="A10" s="7">
        <v>302</v>
      </c>
      <c r="B10" s="29">
        <v>0.21</v>
      </c>
      <c r="C10" s="72">
        <v>1.4400000000000001E-3</v>
      </c>
      <c r="D10" s="71"/>
    </row>
    <row r="11" spans="1:4">
      <c r="A11" s="7">
        <v>312</v>
      </c>
      <c r="B11" s="29">
        <v>0.16600000000000001</v>
      </c>
      <c r="C11" s="72">
        <v>1.7099999999999999E-3</v>
      </c>
      <c r="D11" s="71"/>
    </row>
    <row r="12" spans="1:4">
      <c r="A12" s="7">
        <v>322</v>
      </c>
      <c r="B12" s="29">
        <v>0.13800000000000001</v>
      </c>
      <c r="C12" s="72">
        <v>1.7899999999999999E-3</v>
      </c>
      <c r="D12" s="71"/>
    </row>
    <row r="13" spans="1:4">
      <c r="A13" s="7">
        <v>332</v>
      </c>
      <c r="B13" s="29">
        <v>0.11600000000000001</v>
      </c>
      <c r="C13" s="72">
        <v>1.8E-3</v>
      </c>
      <c r="D13" s="71"/>
    </row>
    <row r="14" spans="1:4">
      <c r="A14" s="18">
        <v>342</v>
      </c>
      <c r="B14" s="34">
        <v>0.10199999999999999</v>
      </c>
      <c r="C14" s="73">
        <v>1.81E-3</v>
      </c>
      <c r="D14" s="71"/>
    </row>
    <row r="18" spans="2:2">
      <c r="B18" s="29"/>
    </row>
    <row r="19" spans="2:2">
      <c r="B19" s="29"/>
    </row>
  </sheetData>
  <autoFilter ref="A1:C9" xr:uid="{00000000-0009-0000-0000-000005000000}">
    <sortState xmlns:xlrd2="http://schemas.microsoft.com/office/spreadsheetml/2017/richdata2" ref="A2:C12">
      <sortCondition ref="A1:A9"/>
    </sortState>
  </autoFilter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semi-chiuso)</vt:lpstr>
      <vt:lpstr>Argon e kripton (tubo chiuso)</vt:lpstr>
      <vt:lpstr>Onde quadre-riflessione</vt:lpstr>
      <vt:lpstr>Ampiezza e fase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>3</cp:revision>
  <dcterms:created xsi:type="dcterms:W3CDTF">2026-03-31T09:18:44Z</dcterms:created>
  <dcterms:modified xsi:type="dcterms:W3CDTF">2026-06-10T16:25:54Z</dcterms:modified>
  <cp:category/>
  <cp:contentStatus/>
</cp:coreProperties>
</file>