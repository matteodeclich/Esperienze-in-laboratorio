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Aria (tubo aperto)" sheetId="1" state="visible" r:id="rId1"/>
    <sheet name="Ventri e nodi" sheetId="2" state="visible" r:id="rId2"/>
    <sheet name="Aria (tubo semi-chiuso)" sheetId="3" state="visible" r:id="rId3"/>
    <sheet name="Argon e kripton (tubo chius0)" sheetId="4" state="visible" r:id="rId4"/>
    <sheet name="Onde quadre-riflessione" sheetId="5" state="visible" r:id="rId5"/>
    <sheet name="Ampiezza e fase" sheetId="6" state="visible" r:id="rId6"/>
    <sheet name="Ampiezza e fase 2" sheetId="7" state="visible" r:id="rId7"/>
  </sheets>
  <definedNames>
    <definedName name="_xlnm._FilterDatabase" localSheetId="6" hidden="1">'Ampiezza e fase 2'!$A$1:$C$11</definedName>
    <definedName name="_xlnm._FilterDatabase" localSheetId="6" hidden="1">'Ampiezza e fase 2'!$A$1:$C$9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<sst xmlns="http://schemas.openxmlformats.org/spreadsheetml/2006/main" count="39" uniqueCount="39">
  <si>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>n</t>
  </si>
  <si>
    <t xml:space="preserve">Frequenza (hz)</t>
  </si>
  <si>
    <t xml:space="preserve">Incertezza (hz)</t>
  </si>
  <si>
    <t xml:space="preserve">D diametro del tubo aperto</t>
  </si>
  <si>
    <t xml:space="preserve">Temperatura stanza (k)</t>
  </si>
  <si>
    <t xml:space="preserve">Incertezza (m)</t>
  </si>
  <si>
    <t xml:space="preserve">Incertezza temperatura (k)</t>
  </si>
  <si>
    <t xml:space="preserve">Lunghezza tubo (m)</t>
  </si>
  <si>
    <t xml:space="preserve">Massa molare aria (kg/mol)</t>
  </si>
  <si>
    <t xml:space="preserve">Incertezza (kg/mol)</t>
  </si>
  <si>
    <t>γ</t>
  </si>
  <si>
    <t xml:space="preserve">R gas ideale</t>
  </si>
  <si>
    <t>n=4</t>
  </si>
  <si>
    <t xml:space="preserve">Distanza (m)</t>
  </si>
  <si>
    <t xml:space="preserve">λ_n teorica</t>
  </si>
  <si>
    <t xml:space="preserve">λ_n/2 osservata</t>
  </si>
  <si>
    <t xml:space="preserve">V suono (m/s)</t>
  </si>
  <si>
    <t>Ventri</t>
  </si>
  <si>
    <t>Nodi</t>
  </si>
  <si>
    <t>Media</t>
  </si>
  <si>
    <t xml:space="preserve">λ_n sperimentale</t>
  </si>
  <si>
    <t xml:space="preserve">80 cm</t>
  </si>
  <si>
    <t xml:space="preserve">65 cm</t>
  </si>
  <si>
    <t xml:space="preserve">55 cm</t>
  </si>
  <si>
    <t xml:space="preserve">Distanza dal tubo </t>
  </si>
  <si>
    <t xml:space="preserve">1,5 cm</t>
  </si>
  <si>
    <t>Argon</t>
  </si>
  <si>
    <t>Kripton</t>
  </si>
  <si>
    <t xml:space="preserve">L (m)</t>
  </si>
  <si>
    <t xml:space="preserve">T (K)</t>
  </si>
  <si>
    <t xml:space="preserve">Massa molare (kg/mol)</t>
  </si>
  <si>
    <t xml:space="preserve">x (m)</t>
  </si>
  <si>
    <t xml:space="preserve">sx (m)</t>
  </si>
  <si>
    <t xml:space="preserve">Delta T_1</t>
  </si>
  <si>
    <t xml:space="preserve">Delta T_2</t>
  </si>
  <si>
    <t xml:space="preserve">Δt medio (s)</t>
  </si>
  <si>
    <t xml:space="preserve">Ampiezza  (V)</t>
  </si>
  <si>
    <t xml:space="preserve">Δt micro (s)</t>
  </si>
  <si>
    <t xml:space="preserve">Δt (s)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</si>
</sst>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.0"/>
    <numFmt numFmtId="165" formatCode="0.0000"/>
    <numFmt numFmtId="166" formatCode="#,##0.000000000"/>
    <numFmt numFmtId="167" formatCode="0.000"/>
    <numFmt numFmtId="168" formatCode="#,##0.00000"/>
    <numFmt numFmtId="169" formatCode="0.00000"/>
  </numFmts>
  <fonts count="3">
    <font>
      <sz val="11.000000"/>
      <color theme="1"/>
      <name val="Aptos Narrow"/>
      <scheme val="minor"/>
    </font>
    <font>
      <u/>
      <sz val="11.000000"/>
      <color theme="1"/>
      <name val="Aptos Narrow"/>
      <scheme val="minor"/>
    </font>
    <font>
      <sz val="10.00000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7"/>
      </patternFill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5">
    <xf fontId="0" fillId="0" borderId="0" numFmtId="0" xfId="0"/>
    <xf fontId="0" fillId="2" borderId="0" numFmtId="0" xfId="0" applyFill="1"/>
    <xf fontId="0" fillId="2" borderId="1" numFmtId="0" xfId="0" applyFill="1" applyBorder="1"/>
    <xf fontId="0" fillId="2" borderId="2" numFmtId="0" xfId="0" applyFill="1" applyBorder="1"/>
    <xf fontId="0" fillId="3" borderId="0" numFmtId="0" xfId="0" applyFill="1"/>
    <xf fontId="0" fillId="0" borderId="1" numFmtId="1" xfId="0" applyNumberFormat="1" applyBorder="1"/>
    <xf fontId="0" fillId="0" borderId="3" numFmtId="0" xfId="0" applyBorder="1"/>
    <xf fontId="0" fillId="0" borderId="4" numFmtId="0" xfId="0" applyBorder="1"/>
    <xf fontId="0" fillId="0" borderId="5" numFmtId="164" xfId="0" applyNumberFormat="1" applyBorder="1"/>
    <xf fontId="0" fillId="0" borderId="4" numFmtId="1" xfId="0" applyNumberFormat="1" applyBorder="1"/>
    <xf fontId="0" fillId="0" borderId="6" numFmtId="0" xfId="0" applyBorder="1"/>
    <xf fontId="0" fillId="2" borderId="4" numFmtId="0" xfId="0" applyFill="1" applyBorder="1"/>
    <xf fontId="0" fillId="2" borderId="5" numFmtId="0" xfId="0" applyFill="1" applyBorder="1"/>
    <xf fontId="0" fillId="0" borderId="5" numFmtId="0" xfId="0" applyBorder="1"/>
    <xf fontId="0" fillId="0" borderId="7" numFmtId="1" xfId="0" applyNumberFormat="1" applyBorder="1"/>
    <xf fontId="0" fillId="0" borderId="8" numFmtId="0" xfId="0" applyBorder="1"/>
    <xf fontId="0" fillId="0" borderId="4" numFmtId="2" xfId="0" applyNumberFormat="1" applyBorder="1"/>
    <xf fontId="0" fillId="0" borderId="5" numFmtId="165" xfId="0" applyNumberFormat="1" applyBorder="1"/>
    <xf fontId="0" fillId="0" borderId="7" numFmtId="0" xfId="0" applyBorder="1"/>
    <xf fontId="1" fillId="2" borderId="5" numFmtId="0" xfId="0" applyFont="1" applyFill="1" applyBorder="1"/>
    <xf fontId="1" fillId="0" borderId="9" numFmtId="166" xfId="0" applyNumberFormat="1" applyFont="1" applyBorder="1"/>
    <xf fontId="0" fillId="4" borderId="0" numFmtId="0" xfId="0" applyFill="1"/>
    <xf fontId="0" fillId="3" borderId="1" numFmtId="0" xfId="0" applyFill="1" applyBorder="1"/>
    <xf fontId="0" fillId="3" borderId="10" numFmtId="0" xfId="0" applyFill="1" applyBorder="1"/>
    <xf fontId="0" fillId="3" borderId="3" numFmtId="0" xfId="0" applyFill="1" applyBorder="1"/>
    <xf fontId="0" fillId="3" borderId="11" numFmtId="0" xfId="0" applyFill="1" applyBorder="1"/>
    <xf fontId="0" fillId="3" borderId="12" numFmtId="0" xfId="0" applyFill="1" applyBorder="1"/>
    <xf fontId="0" fillId="3" borderId="1" numFmtId="0" xfId="0" applyFill="1" applyBorder="1" applyAlignment="1">
      <alignment horizontal="center" vertical="center"/>
    </xf>
    <xf fontId="0" fillId="0" borderId="1" numFmtId="12" xfId="0" applyNumberFormat="1" applyBorder="1"/>
    <xf fontId="0" fillId="0" borderId="10" numFmtId="167" xfId="0" applyNumberFormat="1" applyBorder="1"/>
    <xf fontId="0" fillId="0" borderId="0" numFmtId="167" xfId="0" applyNumberFormat="1"/>
    <xf fontId="0" fillId="0" borderId="6" numFmtId="167" xfId="0" applyNumberFormat="1" applyBorder="1"/>
    <xf fontId="2" fillId="0" borderId="4" numFmtId="168" xfId="0" applyNumberFormat="1" applyFont="1" applyBorder="1" applyAlignment="1">
      <alignment vertical="center"/>
    </xf>
    <xf fontId="0" fillId="3" borderId="4" numFmtId="0" xfId="0" applyFill="1" applyBorder="1" applyAlignment="1">
      <alignment horizontal="center" vertical="center"/>
    </xf>
    <xf fontId="0" fillId="0" borderId="4" numFmtId="12" xfId="0" applyNumberFormat="1" applyBorder="1"/>
    <xf fontId="0" fillId="3" borderId="7" numFmtId="0" xfId="0" applyFill="1" applyBorder="1" applyAlignment="1">
      <alignment horizontal="center" vertical="center"/>
    </xf>
    <xf fontId="0" fillId="0" borderId="7" numFmtId="12" xfId="0" applyNumberFormat="1" applyBorder="1"/>
    <xf fontId="0" fillId="0" borderId="13" numFmtId="167" xfId="0" applyNumberFormat="1" applyBorder="1"/>
    <xf fontId="0" fillId="0" borderId="3" numFmtId="167" xfId="0" applyNumberFormat="1" applyBorder="1"/>
    <xf fontId="0" fillId="2" borderId="7" numFmtId="0" xfId="0" applyFill="1" applyBorder="1"/>
    <xf fontId="0" fillId="0" borderId="8" numFmtId="167" xfId="0" applyNumberFormat="1" applyBorder="1"/>
    <xf fontId="0" fillId="0" borderId="0" numFmtId="164" xfId="0" applyNumberFormat="1"/>
    <xf fontId="0" fillId="0" borderId="1" numFmtId="0" xfId="0" applyBorder="1"/>
    <xf fontId="0" fillId="3" borderId="10" numFmtId="0" xfId="0" applyFill="1" applyBorder="1" applyAlignment="1">
      <alignment horizontal="center"/>
    </xf>
    <xf fontId="0" fillId="3" borderId="3" numFmtId="0" xfId="0" applyFill="1" applyBorder="1" applyAlignment="1">
      <alignment horizontal="center"/>
    </xf>
    <xf fontId="0" fillId="3" borderId="1" numFmtId="0" xfId="0" applyFill="1" applyBorder="1" applyAlignment="1">
      <alignment horizontal="center"/>
    </xf>
    <xf fontId="0" fillId="3" borderId="11" numFmtId="0" xfId="0" applyFill="1" applyBorder="1" applyAlignment="1">
      <alignment horizontal="center"/>
    </xf>
    <xf fontId="0" fillId="3" borderId="12" numFmtId="0" xfId="0" applyFill="1" applyBorder="1" applyAlignment="1">
      <alignment horizontal="center"/>
    </xf>
    <xf fontId="0" fillId="2" borderId="14" numFmtId="0" xfId="0" applyFill="1" applyBorder="1"/>
    <xf fontId="0" fillId="2" borderId="15" numFmtId="0" xfId="0" applyFill="1" applyBorder="1"/>
    <xf fontId="0" fillId="2" borderId="12" numFmtId="0" xfId="0" applyFill="1" applyBorder="1"/>
    <xf fontId="0" fillId="2" borderId="3" numFmtId="0" xfId="0" applyFill="1" applyBorder="1"/>
    <xf fontId="0" fillId="3" borderId="2" numFmtId="0" xfId="0" applyFill="1" applyBorder="1"/>
    <xf fontId="0" fillId="0" borderId="10" numFmtId="0" xfId="0" applyBorder="1"/>
    <xf fontId="0" fillId="0" borderId="10" numFmtId="1" xfId="0" applyNumberFormat="1" applyBorder="1"/>
    <xf fontId="0" fillId="2" borderId="6" numFmtId="0" xfId="0" applyFill="1" applyBorder="1"/>
    <xf fontId="0" fillId="3" borderId="5" numFmtId="0" xfId="0" applyFill="1" applyBorder="1"/>
    <xf fontId="0" fillId="0" borderId="0" numFmtId="1" xfId="0" applyNumberFormat="1"/>
    <xf fontId="0" fillId="3" borderId="9" numFmtId="0" xfId="0" applyFill="1" applyBorder="1"/>
    <xf fontId="0" fillId="0" borderId="13" numFmtId="0" xfId="0" applyBorder="1"/>
    <xf fontId="0" fillId="0" borderId="13" numFmtId="1" xfId="0" applyNumberFormat="1" applyBorder="1"/>
    <xf fontId="0" fillId="5" borderId="0" numFmtId="0" xfId="0" applyFill="1" applyAlignment="1">
      <alignment horizontal="center"/>
    </xf>
    <xf fontId="0" fillId="5" borderId="15" numFmtId="0" xfId="0" applyFill="1" applyBorder="1" applyAlignment="1">
      <alignment horizontal="center"/>
    </xf>
    <xf fontId="0" fillId="5" borderId="12" numFmtId="0" xfId="0" applyFill="1" applyBorder="1" applyAlignment="1">
      <alignment horizontal="center"/>
    </xf>
    <xf fontId="0" fillId="2" borderId="11" numFmtId="0" xfId="0" applyFill="1" applyBorder="1"/>
    <xf fontId="0" fillId="2" borderId="10" numFmtId="0" xfId="0" applyFill="1" applyBorder="1"/>
    <xf fontId="0" fillId="3" borderId="4" numFmtId="0" xfId="0" applyFill="1" applyBorder="1"/>
    <xf fontId="0" fillId="0" borderId="2" numFmtId="0" xfId="0" applyBorder="1"/>
    <xf fontId="0" fillId="3" borderId="6" numFmtId="0" xfId="0" applyFill="1" applyBorder="1"/>
    <xf fontId="0" fillId="0" borderId="6" numFmtId="164" xfId="0" applyNumberFormat="1" applyBorder="1"/>
    <xf fontId="0" fillId="3" borderId="7" numFmtId="0" xfId="0" applyFill="1" applyBorder="1"/>
    <xf fontId="0" fillId="3" borderId="8" numFmtId="0" xfId="0" applyFill="1" applyBorder="1"/>
    <xf fontId="0" fillId="0" borderId="9" numFmtId="165" xfId="0" applyNumberFormat="1" applyBorder="1"/>
    <xf fontId="0" fillId="2" borderId="9" numFmtId="0" xfId="0" applyFill="1" applyBorder="1"/>
    <xf fontId="0" fillId="0" borderId="9" numFmtId="12" xfId="0" applyNumberFormat="1" applyBorder="1"/>
    <xf fontId="0" fillId="0" borderId="0" numFmtId="2" xfId="0" applyNumberFormat="1"/>
    <xf fontId="0" fillId="0" borderId="6" numFmtId="165" xfId="0" applyNumberFormat="1" applyBorder="1"/>
    <xf fontId="0" fillId="0" borderId="13" numFmtId="2" xfId="0" applyNumberFormat="1" applyBorder="1"/>
    <xf fontId="0" fillId="0" borderId="8" numFmtId="165" xfId="0" applyNumberFormat="1" applyBorder="1"/>
    <xf fontId="0" fillId="0" borderId="6" numFmtId="11" xfId="0" applyNumberFormat="1" applyBorder="1"/>
    <xf fontId="0" fillId="0" borderId="8" numFmtId="11" xfId="0" applyNumberFormat="1" applyBorder="1"/>
    <xf fontId="0" fillId="0" borderId="3" numFmtId="169" xfId="0" applyNumberFormat="1" applyBorder="1"/>
    <xf fontId="0" fillId="0" borderId="0" numFmtId="169" xfId="0" applyNumberFormat="1"/>
    <xf fontId="0" fillId="0" borderId="6" numFmtId="169" xfId="0" applyNumberFormat="1" applyBorder="1"/>
    <xf fontId="0" fillId="0" borderId="8" numFmtId="169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30" activeCellId="0" sqref="D30"/>
    </sheetView>
  </sheetViews>
  <sheetFormatPr defaultRowHeight="14.25"/>
  <cols>
    <col customWidth="1" min="1" max="1" width="22.3984375"/>
    <col customWidth="1" min="2" max="2" width="21.59765625"/>
    <col customWidth="1" min="3" max="5" width="22"/>
    <col customWidth="1" min="6" max="6" width="16.265625"/>
  </cols>
  <sheetData>
    <row r="1" ht="14.6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1</v>
      </c>
      <c r="B2" s="5">
        <v>190.09999999999999</v>
      </c>
      <c r="C2" s="6">
        <v>4</v>
      </c>
      <c r="D2" s="7">
        <v>3.5000000000000003e-002</v>
      </c>
      <c r="E2" s="8">
        <v>296.14999999999998</v>
      </c>
    </row>
    <row r="3">
      <c r="A3" s="4">
        <v>2</v>
      </c>
      <c r="B3" s="9">
        <v>381</v>
      </c>
      <c r="C3" s="10">
        <v>4</v>
      </c>
      <c r="D3" s="11" t="s">
        <v>5</v>
      </c>
      <c r="E3" s="12" t="s">
        <v>6</v>
      </c>
    </row>
    <row r="4">
      <c r="A4" s="4">
        <v>3</v>
      </c>
      <c r="B4" s="9">
        <v>561</v>
      </c>
      <c r="C4" s="10">
        <v>4</v>
      </c>
      <c r="D4" s="7">
        <v>5.0000000000000001e-003</v>
      </c>
      <c r="E4" s="13">
        <v>0.5</v>
      </c>
    </row>
    <row r="5">
      <c r="A5" s="4">
        <v>4</v>
      </c>
      <c r="B5" s="9">
        <v>760.20000000000005</v>
      </c>
      <c r="C5" s="10">
        <v>4</v>
      </c>
      <c r="D5" s="11" t="s">
        <v>7</v>
      </c>
      <c r="E5" s="12" t="s">
        <v>8</v>
      </c>
    </row>
    <row r="6" ht="14.65">
      <c r="A6" s="4">
        <v>5</v>
      </c>
      <c r="B6" s="14">
        <v>935.60000000000002</v>
      </c>
      <c r="C6" s="15">
        <v>4</v>
      </c>
      <c r="D6" s="16">
        <v>0.90000000000000002</v>
      </c>
      <c r="E6" s="17">
        <v>2.8964699999999999e-002</v>
      </c>
    </row>
    <row r="7">
      <c r="D7" s="11" t="s">
        <v>5</v>
      </c>
      <c r="E7" s="12" t="s">
        <v>9</v>
      </c>
    </row>
    <row r="8" ht="14.65">
      <c r="D8" s="18">
        <v>1.e-002</v>
      </c>
      <c r="E8" s="13">
        <v>5.0000000000000001e-004</v>
      </c>
    </row>
    <row r="9">
      <c r="E9" s="12" t="s">
        <v>10</v>
      </c>
    </row>
    <row r="10">
      <c r="E10" s="13">
        <v>1.3999999999999999</v>
      </c>
    </row>
    <row r="11">
      <c r="E11" s="19" t="s">
        <v>11</v>
      </c>
    </row>
    <row r="12" ht="14.65">
      <c r="E12" s="20">
        <v>8.3144626180000003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" activeCellId="0" sqref="E2"/>
    </sheetView>
  </sheetViews>
  <sheetFormatPr defaultRowHeight="14.25"/>
  <cols>
    <col bestFit="1" customWidth="1" min="1" max="1" width="16.19921875"/>
    <col bestFit="1" customWidth="1" min="2" max="2" width="8.6640625"/>
    <col bestFit="1" customWidth="1" min="3" max="3" width="10.59765625"/>
    <col bestFit="1" customWidth="1" min="4" max="4" width="11.796875"/>
    <col bestFit="1" customWidth="1" min="5" max="5" width="14"/>
    <col bestFit="1" customWidth="1" min="6" max="6" width="12.86328125"/>
    <col bestFit="1" customWidth="1" min="7" max="7" width="12.19921875"/>
    <col bestFit="1" customWidth="1" min="8" max="8" width="10"/>
    <col bestFit="1" customWidth="1" min="9" max="9" width="17.265625"/>
  </cols>
  <sheetData>
    <row r="1" ht="14.65">
      <c r="A1" s="21" t="s">
        <v>12</v>
      </c>
      <c r="B1" s="22" t="s">
        <v>0</v>
      </c>
      <c r="C1" s="23" t="s">
        <v>13</v>
      </c>
      <c r="D1" s="24" t="s">
        <v>5</v>
      </c>
      <c r="E1" s="25" t="s">
        <v>14</v>
      </c>
      <c r="F1" s="26" t="s">
        <v>15</v>
      </c>
      <c r="G1" s="2" t="s">
        <v>16</v>
      </c>
    </row>
    <row r="2">
      <c r="A2" s="27" t="s">
        <v>17</v>
      </c>
      <c r="B2" s="28">
        <v>1.5</v>
      </c>
      <c r="C2" s="29">
        <v>0.34499999999999997</v>
      </c>
      <c r="D2" s="6">
        <v>5.0000000000000001e-003</v>
      </c>
      <c r="E2" s="30">
        <f>G2/G4</f>
        <v>0.45381056300973421</v>
      </c>
      <c r="F2" s="31">
        <f>C4-C3</f>
        <v>0.22799999999999998</v>
      </c>
      <c r="G2" s="32">
        <v>344.98678999999998</v>
      </c>
    </row>
    <row r="3">
      <c r="A3" s="33"/>
      <c r="B3" s="34">
        <v>2.5</v>
      </c>
      <c r="C3" s="30">
        <v>0.56000000000000005</v>
      </c>
      <c r="D3" s="10">
        <v>5.0000000000000001e-003</v>
      </c>
      <c r="F3" s="31">
        <f>C7-C6</f>
        <v>0.22500000000000003</v>
      </c>
      <c r="G3" s="11" t="s">
        <v>1</v>
      </c>
    </row>
    <row r="4" ht="14.65">
      <c r="A4" s="35"/>
      <c r="B4" s="36">
        <v>3.5</v>
      </c>
      <c r="C4" s="37">
        <v>0.78800000000000003</v>
      </c>
      <c r="D4" s="15">
        <v>5.0000000000000001e-003</v>
      </c>
      <c r="F4" s="31">
        <f>C6-C5</f>
        <v>0.22</v>
      </c>
      <c r="G4" s="18">
        <v>760.20000000000005</v>
      </c>
    </row>
    <row r="5" ht="14.65">
      <c r="A5" s="27" t="s">
        <v>18</v>
      </c>
      <c r="B5" s="34">
        <v>1</v>
      </c>
      <c r="C5" s="30">
        <v>0.23000000000000001</v>
      </c>
      <c r="D5" s="10">
        <v>5.0000000000000001e-003</v>
      </c>
      <c r="E5" s="7"/>
      <c r="F5" s="31">
        <f>C3-C2</f>
        <v>0.21500000000000008</v>
      </c>
    </row>
    <row r="6">
      <c r="A6" s="33"/>
      <c r="B6" s="34">
        <v>2</v>
      </c>
      <c r="C6" s="30">
        <v>0.45000000000000001</v>
      </c>
      <c r="D6" s="10">
        <v>5.0000000000000001e-003</v>
      </c>
      <c r="E6" s="2" t="s">
        <v>19</v>
      </c>
      <c r="F6" s="38">
        <f>AVERAGE(F2:F5)</f>
        <v>0.22200000000000003</v>
      </c>
    </row>
    <row r="7" ht="14.65">
      <c r="A7" s="35"/>
      <c r="B7" s="36">
        <v>3</v>
      </c>
      <c r="C7" s="37">
        <v>0.67500000000000004</v>
      </c>
      <c r="D7" s="15">
        <v>5.0000000000000001e-003</v>
      </c>
      <c r="E7" s="39" t="s">
        <v>20</v>
      </c>
      <c r="F7" s="40">
        <f>2*F6</f>
        <v>0.44400000000000006</v>
      </c>
    </row>
    <row r="11">
      <c r="C11" s="41"/>
    </row>
  </sheetData>
  <mergeCells count="2">
    <mergeCell ref="A2:A4"/>
    <mergeCell ref="A5:A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3" activeCellId="0" sqref="D3:D8"/>
    </sheetView>
  </sheetViews>
  <sheetFormatPr defaultRowHeight="14.25"/>
  <cols>
    <col bestFit="1" customWidth="1" min="2" max="2" width="12.19921875"/>
    <col bestFit="1" customWidth="1" min="3" max="3" width="12.06640625"/>
    <col bestFit="1" customWidth="1" min="4" max="4" width="12.19921875"/>
    <col bestFit="1" customWidth="1" min="5" max="5" width="12.06640625"/>
    <col bestFit="1" customWidth="1" min="7" max="7" width="12.19921875"/>
    <col bestFit="1" customWidth="1" min="8" max="8" width="21.33203125"/>
    <col bestFit="1" customWidth="1" min="9" max="9" width="14.59765625"/>
  </cols>
  <sheetData>
    <row r="1" ht="14.65">
      <c r="A1" s="42"/>
      <c r="B1" s="43" t="s">
        <v>21</v>
      </c>
      <c r="C1" s="44"/>
      <c r="D1" s="45" t="s">
        <v>22</v>
      </c>
      <c r="E1" s="44"/>
      <c r="F1" s="46" t="s">
        <v>23</v>
      </c>
      <c r="G1" s="47"/>
      <c r="H1" s="3" t="s">
        <v>4</v>
      </c>
      <c r="I1" s="1" t="s">
        <v>24</v>
      </c>
    </row>
    <row r="2" ht="14.65">
      <c r="A2" s="48" t="s">
        <v>0</v>
      </c>
      <c r="B2" s="49" t="s">
        <v>1</v>
      </c>
      <c r="C2" s="50" t="s">
        <v>2</v>
      </c>
      <c r="D2" s="2" t="s">
        <v>1</v>
      </c>
      <c r="E2" s="51" t="s">
        <v>2</v>
      </c>
      <c r="F2" s="2" t="s">
        <v>1</v>
      </c>
      <c r="G2" s="51" t="s">
        <v>2</v>
      </c>
      <c r="H2" s="8">
        <v>294.64999999999998</v>
      </c>
      <c r="I2" t="s">
        <v>25</v>
      </c>
    </row>
    <row r="3">
      <c r="A3" s="52">
        <v>1</v>
      </c>
      <c r="B3" s="5">
        <v>105</v>
      </c>
      <c r="C3" s="53">
        <v>1</v>
      </c>
      <c r="D3" s="5">
        <v>129.30000000000001</v>
      </c>
      <c r="E3" s="6">
        <v>2</v>
      </c>
      <c r="F3" s="54">
        <v>151</v>
      </c>
      <c r="G3" s="6">
        <v>3</v>
      </c>
      <c r="H3" s="55" t="s">
        <v>6</v>
      </c>
    </row>
    <row r="4" ht="14.65">
      <c r="A4" s="56">
        <v>3</v>
      </c>
      <c r="B4" s="9">
        <v>315.60000000000002</v>
      </c>
      <c r="C4">
        <v>1</v>
      </c>
      <c r="D4" s="9">
        <v>386.60000000000002</v>
      </c>
      <c r="E4" s="10">
        <v>2</v>
      </c>
      <c r="F4" s="57">
        <v>456.5</v>
      </c>
      <c r="G4" s="10">
        <v>3</v>
      </c>
      <c r="H4" s="15">
        <v>0.5</v>
      </c>
    </row>
    <row r="5">
      <c r="A5" s="56">
        <v>5</v>
      </c>
      <c r="B5" s="9">
        <v>525.70000000000005</v>
      </c>
      <c r="C5">
        <v>1</v>
      </c>
      <c r="D5" s="9">
        <v>645.70000000000005</v>
      </c>
      <c r="E5" s="10">
        <v>2</v>
      </c>
      <c r="F5" s="57">
        <v>760</v>
      </c>
      <c r="G5" s="10">
        <v>3</v>
      </c>
    </row>
    <row r="6">
      <c r="A6" s="56">
        <v>7</v>
      </c>
      <c r="B6" s="9">
        <v>737.39999999999998</v>
      </c>
      <c r="C6">
        <v>1</v>
      </c>
      <c r="D6" s="9">
        <v>903.5</v>
      </c>
      <c r="E6" s="10">
        <v>2</v>
      </c>
      <c r="F6" s="57">
        <v>1063</v>
      </c>
      <c r="G6" s="10">
        <v>3</v>
      </c>
    </row>
    <row r="7">
      <c r="A7" s="56">
        <v>9</v>
      </c>
      <c r="B7" s="9">
        <v>949.29999999999995</v>
      </c>
      <c r="C7">
        <v>1</v>
      </c>
      <c r="D7" s="9">
        <v>1162.7</v>
      </c>
      <c r="E7" s="10">
        <v>2</v>
      </c>
      <c r="F7" s="57">
        <v>1380</v>
      </c>
      <c r="G7" s="10">
        <v>3</v>
      </c>
    </row>
    <row r="8" ht="14.65">
      <c r="A8" s="58">
        <v>11</v>
      </c>
      <c r="B8" s="14">
        <v>1155.4000000000001</v>
      </c>
      <c r="C8" s="59">
        <v>2</v>
      </c>
      <c r="D8" s="14">
        <v>1430</v>
      </c>
      <c r="E8" s="15">
        <v>3</v>
      </c>
      <c r="F8" s="60">
        <v>1680</v>
      </c>
      <c r="G8" s="15">
        <v>4</v>
      </c>
    </row>
  </sheetData>
  <mergeCells count="3">
    <mergeCell ref="B1:C1"/>
    <mergeCell ref="D1:E1"/>
    <mergeCell ref="F1:G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5" activeCellId="0" sqref="H5"/>
    </sheetView>
  </sheetViews>
  <sheetFormatPr defaultRowHeight="14.25"/>
  <cols>
    <col bestFit="1" customWidth="1" min="2" max="2" width="12.19921875"/>
    <col bestFit="1" customWidth="1" min="3" max="3" width="12.06640625"/>
    <col bestFit="1" customWidth="1" min="4" max="4" width="21.33203125"/>
    <col bestFit="1" customWidth="1" min="6" max="6" width="12.19921875"/>
    <col bestFit="1" customWidth="1" min="7" max="7" width="12.06640625"/>
    <col bestFit="1" customWidth="1" min="8" max="8" width="21.33203125"/>
  </cols>
  <sheetData>
    <row r="1" ht="14.65">
      <c r="A1" s="61" t="s">
        <v>26</v>
      </c>
      <c r="B1" s="61"/>
      <c r="C1" s="61"/>
      <c r="D1" s="61"/>
      <c r="E1" s="62" t="s">
        <v>27</v>
      </c>
      <c r="F1" s="62"/>
      <c r="G1" s="62"/>
      <c r="H1" s="63"/>
    </row>
    <row r="2" ht="14.65">
      <c r="A2" s="64" t="s">
        <v>0</v>
      </c>
      <c r="B2" s="49" t="s">
        <v>1</v>
      </c>
      <c r="C2" s="49" t="s">
        <v>2</v>
      </c>
      <c r="D2" s="48" t="s">
        <v>28</v>
      </c>
      <c r="E2" s="65" t="s">
        <v>0</v>
      </c>
      <c r="F2" s="65" t="s">
        <v>1</v>
      </c>
      <c r="G2" s="65" t="s">
        <v>2</v>
      </c>
      <c r="H2" s="3" t="s">
        <v>28</v>
      </c>
    </row>
    <row r="3" ht="14.65">
      <c r="A3" s="66">
        <v>1</v>
      </c>
      <c r="B3" s="57">
        <v>112</v>
      </c>
      <c r="C3" s="6">
        <v>5</v>
      </c>
      <c r="D3" s="67">
        <v>1.46</v>
      </c>
      <c r="E3" s="24">
        <v>1</v>
      </c>
      <c r="F3" s="5">
        <v>94</v>
      </c>
      <c r="G3" s="6">
        <v>5</v>
      </c>
      <c r="H3" s="10">
        <v>1.454</v>
      </c>
    </row>
    <row r="4">
      <c r="A4" s="66">
        <v>2</v>
      </c>
      <c r="B4" s="57">
        <v>225</v>
      </c>
      <c r="C4" s="10">
        <v>5</v>
      </c>
      <c r="D4" s="12" t="s">
        <v>29</v>
      </c>
      <c r="E4" s="68">
        <v>2</v>
      </c>
      <c r="F4" s="9">
        <v>188</v>
      </c>
      <c r="G4" s="10">
        <v>5</v>
      </c>
      <c r="H4" s="51" t="s">
        <v>29</v>
      </c>
    </row>
    <row r="5">
      <c r="A5" s="66">
        <v>3</v>
      </c>
      <c r="B5" s="57">
        <v>338</v>
      </c>
      <c r="C5" s="10">
        <v>5</v>
      </c>
      <c r="D5" s="8">
        <v>295.64999999999998</v>
      </c>
      <c r="E5" s="68">
        <v>3</v>
      </c>
      <c r="F5" s="9">
        <v>282</v>
      </c>
      <c r="G5" s="10">
        <v>5</v>
      </c>
      <c r="H5" s="69">
        <v>295.14999999999998</v>
      </c>
    </row>
    <row r="6">
      <c r="A6" s="66">
        <v>4</v>
      </c>
      <c r="B6" s="57">
        <v>450</v>
      </c>
      <c r="C6" s="10">
        <v>5</v>
      </c>
      <c r="D6" s="12" t="s">
        <v>6</v>
      </c>
      <c r="E6" s="68">
        <v>4</v>
      </c>
      <c r="F6" s="9">
        <v>375</v>
      </c>
      <c r="G6" s="10">
        <v>5</v>
      </c>
      <c r="H6" s="55" t="s">
        <v>6</v>
      </c>
    </row>
    <row r="7" ht="14.65">
      <c r="A7" s="66">
        <v>5</v>
      </c>
      <c r="B7" s="57">
        <v>562</v>
      </c>
      <c r="C7" s="10">
        <v>5</v>
      </c>
      <c r="D7" s="13">
        <v>0.5</v>
      </c>
      <c r="E7" s="68">
        <v>5</v>
      </c>
      <c r="F7" s="9">
        <v>469</v>
      </c>
      <c r="G7" s="10">
        <v>5</v>
      </c>
      <c r="H7" s="10">
        <v>0.5</v>
      </c>
    </row>
    <row r="8" ht="14.65">
      <c r="A8" s="70">
        <v>6</v>
      </c>
      <c r="B8" s="60">
        <v>676</v>
      </c>
      <c r="C8" s="15">
        <v>5</v>
      </c>
      <c r="D8" s="12" t="s">
        <v>30</v>
      </c>
      <c r="E8" s="71">
        <v>6</v>
      </c>
      <c r="F8" s="14">
        <v>560</v>
      </c>
      <c r="G8" s="15">
        <v>5</v>
      </c>
      <c r="H8" s="51" t="s">
        <v>30</v>
      </c>
    </row>
    <row r="9" ht="14.65">
      <c r="D9" s="72">
        <v>3.9947999999999997e-002</v>
      </c>
      <c r="H9" s="72">
        <v>8.3797999999999997e-002</v>
      </c>
    </row>
    <row r="10">
      <c r="D10" s="12" t="s">
        <v>9</v>
      </c>
      <c r="H10" s="12" t="s">
        <v>9</v>
      </c>
    </row>
    <row r="11">
      <c r="D11" s="13">
        <v>5.0000000000000001e-004</v>
      </c>
      <c r="H11" s="13">
        <v>5.0000000000000001e-004</v>
      </c>
    </row>
    <row r="12" ht="14.65">
      <c r="D12" s="73" t="s">
        <v>10</v>
      </c>
      <c r="H12" s="12" t="s">
        <v>10</v>
      </c>
    </row>
    <row r="13" ht="14.65">
      <c r="D13" s="74">
        <v>1.6666666666666667</v>
      </c>
      <c r="H13" s="74">
        <v>1.6666666666666667</v>
      </c>
    </row>
  </sheetData>
  <mergeCells count="2">
    <mergeCell ref="A1:D1"/>
    <mergeCell ref="E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3" activeCellId="0" sqref="G13"/>
    </sheetView>
  </sheetViews>
  <sheetFormatPr defaultRowHeight="14.25"/>
  <cols>
    <col bestFit="1" customWidth="1" min="4" max="4" width="10.06640625"/>
    <col bestFit="1" customWidth="1" min="5" max="7" width="13"/>
  </cols>
  <sheetData>
    <row r="1">
      <c r="A1" s="22" t="s">
        <v>31</v>
      </c>
      <c r="B1" s="23" t="s">
        <v>32</v>
      </c>
      <c r="C1" s="23" t="s">
        <v>33</v>
      </c>
      <c r="D1" s="23" t="s">
        <v>34</v>
      </c>
      <c r="E1" s="24" t="s">
        <v>35</v>
      </c>
    </row>
    <row r="2">
      <c r="A2" s="7">
        <v>1.5700000000000001</v>
      </c>
      <c r="B2" s="75">
        <v>5.0000000000000001e-003</v>
      </c>
      <c r="C2">
        <v>4.4999999999999997e-003</v>
      </c>
      <c r="D2">
        <v>4.4999999999999997e-003</v>
      </c>
      <c r="E2" s="76">
        <f t="shared" ref="E2:E8" si="0">AVERAGE(C2:D2)</f>
        <v>4.4999999999999997e-003</v>
      </c>
    </row>
    <row r="3">
      <c r="A3" s="7">
        <v>1.3700000000000001</v>
      </c>
      <c r="B3" s="75">
        <v>5.0000000000000001e-003</v>
      </c>
      <c r="C3">
        <v>3.9199999999999999e-003</v>
      </c>
      <c r="D3">
        <v>3.9199999999999999e-003</v>
      </c>
      <c r="E3" s="76">
        <f t="shared" si="0"/>
        <v>3.9199999999999999e-003</v>
      </c>
    </row>
    <row r="4">
      <c r="A4" s="7">
        <v>1.1699999999999999</v>
      </c>
      <c r="B4" s="75">
        <v>5.0000000000000001e-003</v>
      </c>
      <c r="C4">
        <v>3.3600000000000001e-003</v>
      </c>
      <c r="D4">
        <v>3.3500000000000001e-003</v>
      </c>
      <c r="E4" s="76">
        <f t="shared" si="0"/>
        <v>3.3550000000000003e-003</v>
      </c>
    </row>
    <row r="5">
      <c r="A5" s="7">
        <v>0.96999999999999997</v>
      </c>
      <c r="B5" s="75">
        <v>5.0000000000000001e-003</v>
      </c>
      <c r="C5">
        <v>2.7899999999999999e-003</v>
      </c>
      <c r="D5">
        <v>2.7699999999999999e-003</v>
      </c>
      <c r="E5" s="76">
        <f t="shared" si="0"/>
        <v>2.7799999999999999e-003</v>
      </c>
    </row>
    <row r="6">
      <c r="A6" s="7">
        <v>0.77000000000000002</v>
      </c>
      <c r="B6" s="75">
        <v>5.0000000000000001e-003</v>
      </c>
      <c r="C6">
        <v>2.2000000000000001e-003</v>
      </c>
      <c r="D6">
        <v>2.2000000000000001e-003</v>
      </c>
      <c r="E6" s="76">
        <f t="shared" si="0"/>
        <v>2.2000000000000001e-003</v>
      </c>
    </row>
    <row r="7">
      <c r="A7" s="7">
        <v>0.56999999999999995</v>
      </c>
      <c r="B7" s="75">
        <v>5.0000000000000001e-003</v>
      </c>
      <c r="C7">
        <v>1.6199999999999999e-003</v>
      </c>
      <c r="D7">
        <v>1.6199999999999999e-003</v>
      </c>
      <c r="E7" s="76">
        <f t="shared" si="0"/>
        <v>1.6199999999999999e-003</v>
      </c>
    </row>
    <row r="8" ht="14.65">
      <c r="A8" s="18">
        <v>0.37</v>
      </c>
      <c r="B8" s="77">
        <v>5.0000000000000001e-003</v>
      </c>
      <c r="C8" s="59">
        <v>1.0499999999999999e-003</v>
      </c>
      <c r="D8" s="59">
        <v>1.0399999999999999e-003</v>
      </c>
      <c r="E8" s="78">
        <f t="shared" si="0"/>
        <v>1.0449999999999999e-003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0" activeCellId="0" sqref="A30"/>
    </sheetView>
  </sheetViews>
  <sheetFormatPr defaultRowHeight="14.25"/>
  <cols>
    <col bestFit="1" customWidth="1" min="1" max="1" width="11"/>
    <col bestFit="1" customWidth="1" min="2" max="2" width="9.86328125"/>
    <col bestFit="1" customWidth="1" min="3" max="3" width="10.6640625"/>
    <col customWidth="1" min="4" max="4" width="19"/>
  </cols>
  <sheetData>
    <row r="1">
      <c r="A1" s="2" t="s">
        <v>1</v>
      </c>
      <c r="B1" s="65" t="s">
        <v>36</v>
      </c>
      <c r="C1" s="51" t="s">
        <v>37</v>
      </c>
    </row>
    <row r="2">
      <c r="A2" s="7">
        <v>490</v>
      </c>
      <c r="B2">
        <v>0.40000000000000002</v>
      </c>
      <c r="C2" s="79">
        <v>-7.1000000000000002e-004</v>
      </c>
    </row>
    <row r="3">
      <c r="A3" s="7">
        <v>500</v>
      </c>
      <c r="B3">
        <v>3.4399999999999999</v>
      </c>
      <c r="C3" s="79">
        <v>-6.2e-004</v>
      </c>
    </row>
    <row r="4">
      <c r="A4" s="7">
        <v>510</v>
      </c>
      <c r="B4">
        <v>3.2200000000000002</v>
      </c>
      <c r="C4" s="79">
        <v>-4.6000000000000001e-004</v>
      </c>
    </row>
    <row r="5">
      <c r="A5" s="7">
        <v>520</v>
      </c>
      <c r="B5">
        <v>4.4000000000000004</v>
      </c>
      <c r="C5" s="79">
        <v>-8.0000000000000007e-005</v>
      </c>
    </row>
    <row r="6">
      <c r="A6" s="7">
        <v>534.29999999999995</v>
      </c>
      <c r="B6">
        <v>2.2200000000000002</v>
      </c>
      <c r="C6" s="79">
        <v>1.4999999999999999e-004</v>
      </c>
    </row>
    <row r="7">
      <c r="A7" s="7">
        <v>540</v>
      </c>
      <c r="B7">
        <v>1.8</v>
      </c>
      <c r="C7" s="79">
        <v>1.4999999999999999e-004</v>
      </c>
    </row>
    <row r="8" ht="14.65">
      <c r="A8" s="18">
        <v>550</v>
      </c>
      <c r="B8" s="59">
        <v>1.4199999999999999</v>
      </c>
      <c r="C8" s="80">
        <v>1.8000000000000001e-004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6" activeCellId="0" sqref="F16"/>
    </sheetView>
  </sheetViews>
  <sheetFormatPr defaultRowHeight="14.25"/>
  <cols>
    <col bestFit="1" customWidth="1" min="1" max="1" width="12.19921875"/>
    <col bestFit="1" customWidth="1" min="2" max="2" width="11.06640625"/>
    <col bestFit="1" customWidth="1" min="3" max="3" width="10.265625"/>
  </cols>
  <sheetData>
    <row r="1" ht="14.65">
      <c r="A1" s="2" t="s">
        <v>1</v>
      </c>
      <c r="B1" s="65" t="s">
        <v>36</v>
      </c>
      <c r="C1" s="51" t="s">
        <v>38</v>
      </c>
    </row>
    <row r="2">
      <c r="A2" s="42">
        <v>222</v>
      </c>
      <c r="B2" s="53">
        <v>5.0000000000000003e-002</v>
      </c>
      <c r="C2" s="81">
        <v>6.4000000000000005e-004</v>
      </c>
      <c r="D2" s="82"/>
    </row>
    <row r="3">
      <c r="A3" s="7">
        <v>232</v>
      </c>
      <c r="B3">
        <v>7.0000000000000007e-002</v>
      </c>
      <c r="C3" s="83">
        <v>5.2999999999999998e-004</v>
      </c>
      <c r="D3" s="82"/>
    </row>
    <row r="4">
      <c r="A4" s="7">
        <v>242</v>
      </c>
      <c r="B4" s="30">
        <v>8.9999999999999997e-002</v>
      </c>
      <c r="C4" s="83">
        <v>4.0000000000000002e-004</v>
      </c>
      <c r="D4" s="82"/>
    </row>
    <row r="5">
      <c r="A5" s="7">
        <v>252</v>
      </c>
      <c r="B5" s="30">
        <v>0.16400000000000001</v>
      </c>
      <c r="C5" s="83">
        <v>4.2999999999999999e-004</v>
      </c>
      <c r="D5" s="82"/>
    </row>
    <row r="6">
      <c r="A6" s="7">
        <v>262</v>
      </c>
      <c r="B6" s="30">
        <v>0.20599999999999999</v>
      </c>
      <c r="C6" s="83">
        <v>5.5000000000000003e-004</v>
      </c>
      <c r="D6" s="82"/>
    </row>
    <row r="7">
      <c r="A7" s="7">
        <v>272</v>
      </c>
      <c r="B7" s="30">
        <v>0.27000000000000002</v>
      </c>
      <c r="C7" s="83">
        <v>5.8e-004</v>
      </c>
      <c r="D7" s="82"/>
    </row>
    <row r="8">
      <c r="A8" s="66">
        <v>282</v>
      </c>
      <c r="B8" s="30">
        <v>0.32200000000000001</v>
      </c>
      <c r="C8" s="83">
        <v>6.8999999999999997e-004</v>
      </c>
      <c r="D8" s="82"/>
    </row>
    <row r="9">
      <c r="A9" s="7">
        <v>292</v>
      </c>
      <c r="B9" s="30">
        <v>0.27800000000000002</v>
      </c>
      <c r="C9" s="83">
        <v>9.5e-004</v>
      </c>
      <c r="D9" s="82"/>
    </row>
    <row r="10">
      <c r="A10" s="7">
        <v>302</v>
      </c>
      <c r="B10" s="30">
        <v>0.20999999999999999</v>
      </c>
      <c r="C10" s="83">
        <v>1.4400000000000001e-003</v>
      </c>
      <c r="D10" s="82"/>
    </row>
    <row r="11">
      <c r="A11" s="7">
        <v>312</v>
      </c>
      <c r="B11" s="30">
        <v>0.16600000000000001</v>
      </c>
      <c r="C11" s="83">
        <v>1.7099999999999999e-003</v>
      </c>
      <c r="D11" s="82"/>
    </row>
    <row r="12">
      <c r="A12" s="7">
        <v>322</v>
      </c>
      <c r="B12" s="30">
        <v>0.13800000000000001</v>
      </c>
      <c r="C12" s="83">
        <v>1.7899999999999999e-003</v>
      </c>
      <c r="D12" s="82"/>
    </row>
    <row r="13">
      <c r="A13" s="7">
        <v>332</v>
      </c>
      <c r="B13" s="30">
        <v>0.11600000000000001</v>
      </c>
      <c r="C13" s="83">
        <v>1.8e-003</v>
      </c>
      <c r="D13" s="82"/>
    </row>
    <row r="14" ht="14.65">
      <c r="A14" s="18">
        <v>342</v>
      </c>
      <c r="B14" s="37">
        <v>0.10199999999999999</v>
      </c>
      <c r="C14" s="84">
        <v>1.81e-003</v>
      </c>
      <c r="D14" s="82"/>
    </row>
    <row r="18">
      <c r="B18" s="30"/>
    </row>
    <row r="19">
      <c r="B19" s="30"/>
    </row>
  </sheetData>
  <autoFilter ref="A1:C9">
    <sortState ref="A2:C12">
      <sortCondition ref="A1:A9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m.declich@campus.unimib.it</dc:creator>
  <cp:keywords/>
  <dc:description/>
  <cp:revision>1</cp:revision>
  <dcterms:created xsi:type="dcterms:W3CDTF">2026-03-31T09:18:44Z</dcterms:created>
  <dcterms:modified xsi:type="dcterms:W3CDTF">2026-06-07T22:01:39Z</dcterms:modified>
  <cp:category/>
  <cp:contentStatus/>
</cp:coreProperties>
</file>