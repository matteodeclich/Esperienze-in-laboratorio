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isure statiche 1" sheetId="1" state="visible" r:id="rId1"/>
    <sheet name="Misure statiche (molla uguale)" sheetId="2" state="visible" r:id="rId2"/>
    <sheet name="Misure statiche (molla diversa)" sheetId="3" state="visible" r:id="rId3"/>
    <sheet name="Misure dinamiche" sheetId="4" state="visible" r:id="rId4"/>
    <sheet name="Molle in serie (statica)" sheetId="5" state="visible" r:id="rId5"/>
    <sheet name="Molle in parallelo (statica)" sheetId="6" state="visible" r:id="rId6"/>
    <sheet name="Energia " sheetId="7" state="visible" r:id="rId7"/>
    <sheet name="Misure dinamiche 2" sheetId="8" state="visible" r:id="rId8"/>
  </sheets>
  <definedNames>
    <definedName name="_xlnm._FilterDatabase" localSheetId="4" hidden="1">'Molle in serie (statica)'!$A$1:$G$6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<sst xmlns="http://schemas.openxmlformats.org/spreadsheetml/2006/main" count="21" uniqueCount="21">
  <si>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m[kg]</t>
  </si>
  <si>
    <t xml:space="preserve">x [m]</t>
  </si>
  <si>
    <t xml:space="preserve">l [m]</t>
  </si>
  <si>
    <t xml:space="preserve">σl [m]</t>
  </si>
  <si>
    <t xml:space="preserve">x0 [m] </t>
  </si>
  <si>
    <t xml:space="preserve">σx0 [m]</t>
  </si>
  <si>
    <t xml:space="preserve">posizione [m]</t>
  </si>
  <si>
    <t xml:space="preserve">allungamento [m]</t>
  </si>
  <si>
    <t xml:space="preserve">incertezza su all. [m]</t>
  </si>
  <si>
    <t xml:space="preserve">d [m] senza pesi</t>
  </si>
  <si>
    <t xml:space="preserve">incertezza su d [m]</t>
  </si>
  <si>
    <t xml:space="preserve">Masse (kg)</t>
  </si>
  <si>
    <t xml:space="preserve">Masse corrette(Kg)</t>
  </si>
  <si>
    <t xml:space="preserve">Massa molla (kg)</t>
  </si>
  <si>
    <t>Media</t>
  </si>
  <si>
    <t>Dev.std</t>
  </si>
  <si>
    <t>Dev.std.med</t>
  </si>
  <si>
    <t xml:space="preserve">t1 (s) Set</t>
  </si>
  <si>
    <t xml:space="preserve">x (m) Set</t>
  </si>
  <si>
    <t xml:space="preserve">v (m/s) Set</t>
  </si>
  <si>
    <t xml:space="preserve">Masse (Kg)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</si>
</sst>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6">
    <font>
      <sz val="11.000000"/>
      <color theme="1"/>
      <name val="Aptos Narrow"/>
      <scheme val="minor"/>
    </font>
    <font>
      <sz val="10.000000"/>
      <color theme="1"/>
      <name val="Arial"/>
    </font>
    <font>
      <b/>
      <sz val="10.000000"/>
      <color theme="1"/>
      <name val="Arial"/>
    </font>
    <font>
      <sz val="10.000000"/>
      <color theme="1"/>
      <name val="Arial Unicode MS"/>
    </font>
    <font>
      <u/>
      <sz val="11.000000"/>
      <color theme="1"/>
      <name val="Aptos Narrow"/>
      <scheme val="minor"/>
    </font>
    <font>
      <u/>
      <sz val="10.00000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FFC000"/>
      </patternFill>
    </fill>
    <fill>
      <patternFill patternType="solid">
        <fgColor indexed="5"/>
      </patternFill>
    </fill>
    <fill>
      <patternFill patternType="solid">
        <fgColor theme="5"/>
      </patternFill>
    </fill>
  </fills>
  <borders count="14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0">
    <xf fontId="0" fillId="0" borderId="0" numFmtId="0" xfId="0"/>
    <xf fontId="1" fillId="2" borderId="1" numFmtId="0" xfId="0" applyFont="1" applyFill="1" applyBorder="1"/>
    <xf fontId="1" fillId="2" borderId="2" numFmtId="0" xfId="0" applyFont="1" applyFill="1" applyBorder="1"/>
    <xf fontId="1" fillId="2" borderId="3" numFmtId="0" xfId="0" applyFont="1" applyFill="1" applyBorder="1"/>
    <xf fontId="1" fillId="0" borderId="1" numFmtId="0" xfId="0" applyFont="1" applyBorder="1" applyAlignment="1">
      <alignment horizontal="right" wrapText="1"/>
    </xf>
    <xf fontId="1" fillId="0" borderId="2" numFmtId="0" xfId="0" applyFont="1" applyBorder="1" applyAlignment="1">
      <alignment horizontal="right" wrapText="1"/>
    </xf>
    <xf fontId="1" fillId="0" borderId="4" numFmtId="2" xfId="0" applyNumberFormat="1" applyFont="1" applyBorder="1" applyAlignment="1">
      <alignment horizontal="right" wrapText="1"/>
    </xf>
    <xf fontId="1" fillId="0" borderId="5" numFmtId="0" xfId="0" applyFont="1" applyBorder="1" applyAlignment="1">
      <alignment horizontal="right" wrapText="1"/>
    </xf>
    <xf fontId="1" fillId="0" borderId="6" numFmtId="0" xfId="0" applyFont="1" applyBorder="1" applyAlignment="1">
      <alignment horizontal="right" wrapText="1"/>
    </xf>
    <xf fontId="1" fillId="0" borderId="0" numFmtId="0" xfId="0" applyFont="1" applyAlignment="1">
      <alignment horizontal="right" wrapText="1"/>
    </xf>
    <xf fontId="1" fillId="0" borderId="7" numFmtId="2" xfId="0" applyNumberFormat="1" applyFont="1" applyBorder="1" applyAlignment="1">
      <alignment horizontal="right" wrapText="1"/>
    </xf>
    <xf fontId="1" fillId="2" borderId="4" numFmtId="0" xfId="0" applyFont="1" applyFill="1" applyBorder="1"/>
    <xf fontId="1" fillId="0" borderId="0" numFmtId="2" xfId="0" applyNumberFormat="1" applyFont="1" applyAlignment="1">
      <alignment horizontal="right" wrapText="1"/>
    </xf>
    <xf fontId="1" fillId="0" borderId="0" numFmtId="0" xfId="0" applyFont="1" applyAlignment="1">
      <alignment wrapText="1"/>
    </xf>
    <xf fontId="1" fillId="0" borderId="8" numFmtId="0" xfId="0" applyFont="1" applyBorder="1" applyAlignment="1">
      <alignment horizontal="right" wrapText="1"/>
    </xf>
    <xf fontId="1" fillId="0" borderId="9" numFmtId="0" xfId="0" applyFont="1" applyBorder="1" applyAlignment="1">
      <alignment horizontal="right" wrapText="1"/>
    </xf>
    <xf fontId="1" fillId="0" borderId="10" numFmtId="2" xfId="0" applyNumberFormat="1" applyFont="1" applyBorder="1" applyAlignment="1">
      <alignment horizontal="right" wrapText="1"/>
    </xf>
    <xf fontId="2" fillId="3" borderId="1" numFmtId="0" xfId="0" applyFont="1" applyFill="1" applyBorder="1"/>
    <xf fontId="2" fillId="3" borderId="2" numFmtId="0" xfId="0" applyFont="1" applyFill="1" applyBorder="1"/>
    <xf fontId="2" fillId="3" borderId="3" numFmtId="0" xfId="0" applyFont="1" applyFill="1" applyBorder="1"/>
    <xf fontId="1" fillId="0" borderId="11" numFmtId="0" xfId="0" applyFont="1" applyBorder="1" applyAlignment="1">
      <alignment horizontal="right" wrapText="1"/>
    </xf>
    <xf fontId="2" fillId="3" borderId="4" numFmtId="0" xfId="0" applyFont="1" applyFill="1" applyBorder="1"/>
    <xf fontId="1" fillId="0" borderId="2" numFmtId="0" xfId="0" applyFont="1" applyBorder="1" applyAlignment="1">
      <alignment wrapText="1"/>
    </xf>
    <xf fontId="1" fillId="0" borderId="4" numFmtId="2" xfId="0" applyNumberFormat="1" applyFont="1" applyBorder="1" applyAlignment="1">
      <alignment wrapText="1"/>
    </xf>
    <xf fontId="1" fillId="0" borderId="12" numFmtId="0" xfId="0" applyFont="1" applyBorder="1" applyAlignment="1">
      <alignment horizontal="right" wrapText="1"/>
    </xf>
    <xf fontId="1" fillId="0" borderId="7" numFmtId="2" xfId="0" applyNumberFormat="1" applyFont="1" applyBorder="1" applyAlignment="1">
      <alignment wrapText="1"/>
    </xf>
    <xf fontId="1" fillId="0" borderId="9" numFmtId="0" xfId="0" applyFont="1" applyBorder="1" applyAlignment="1">
      <alignment wrapText="1"/>
    </xf>
    <xf fontId="1" fillId="0" borderId="10" numFmtId="2" xfId="0" applyNumberFormat="1" applyFont="1" applyBorder="1" applyAlignment="1">
      <alignment wrapText="1"/>
    </xf>
    <xf fontId="0" fillId="3" borderId="1" numFmtId="0" xfId="0" applyFill="1" applyBorder="1"/>
    <xf fontId="0" fillId="4" borderId="2" numFmtId="0" xfId="0" applyFill="1" applyBorder="1"/>
    <xf fontId="0" fillId="4" borderId="4" numFmtId="0" xfId="0" applyFill="1" applyBorder="1"/>
    <xf fontId="0" fillId="3" borderId="4" numFmtId="0" xfId="0" applyFill="1" applyBorder="1"/>
    <xf fontId="0" fillId="0" borderId="6" numFmtId="0" xfId="0" applyBorder="1"/>
    <xf fontId="0" fillId="0" borderId="7" numFmtId="0" xfId="0" applyBorder="1"/>
    <xf fontId="0" fillId="0" borderId="6" numFmtId="164" xfId="0" applyNumberFormat="1" applyBorder="1"/>
    <xf fontId="3" fillId="0" borderId="0" numFmtId="0" xfId="0" applyFont="1" applyAlignment="1">
      <alignment vertical="center"/>
    </xf>
    <xf fontId="0" fillId="0" borderId="6" numFmtId="0" xfId="0" applyBorder="1" applyAlignment="1">
      <alignment vertical="center"/>
    </xf>
    <xf fontId="0" fillId="5" borderId="1" numFmtId="0" xfId="0" applyFill="1" applyBorder="1"/>
    <xf fontId="0" fillId="0" borderId="2" numFmtId="2" xfId="0" applyNumberFormat="1" applyBorder="1"/>
    <xf fontId="0" fillId="0" borderId="4" numFmtId="2" xfId="0" applyNumberFormat="1" applyBorder="1"/>
    <xf fontId="0" fillId="0" borderId="8" numFmtId="164" xfId="0" applyNumberFormat="1" applyBorder="1"/>
    <xf fontId="0" fillId="0" borderId="10" numFmtId="0" xfId="0" applyBorder="1"/>
    <xf fontId="0" fillId="5" borderId="6" numFmtId="0" xfId="0" applyFill="1" applyBorder="1"/>
    <xf fontId="0" fillId="0" borderId="0" numFmtId="2" xfId="0" applyNumberFormat="1"/>
    <xf fontId="0" fillId="0" borderId="7" numFmtId="2" xfId="0" applyNumberFormat="1" applyBorder="1"/>
    <xf fontId="0" fillId="5" borderId="8" numFmtId="0" xfId="0" applyFill="1" applyBorder="1"/>
    <xf fontId="0" fillId="0" borderId="9" numFmtId="2" xfId="0" applyNumberFormat="1" applyBorder="1"/>
    <xf fontId="0" fillId="0" borderId="10" numFmtId="2" xfId="0" applyNumberFormat="1" applyBorder="1"/>
    <xf fontId="1" fillId="0" borderId="7" numFmtId="0" xfId="0" applyFont="1" applyBorder="1" applyAlignment="1">
      <alignment horizontal="right" wrapText="1"/>
    </xf>
    <xf fontId="4" fillId="0" borderId="0" numFmtId="0" xfId="0" applyFont="1"/>
    <xf fontId="1" fillId="0" borderId="13" numFmtId="2" xfId="0" applyNumberFormat="1" applyFont="1" applyBorder="1" applyAlignment="1">
      <alignment horizontal="right" wrapText="1"/>
    </xf>
    <xf fontId="1" fillId="4" borderId="0" numFmtId="0" xfId="0" applyFont="1" applyFill="1" applyAlignment="1">
      <alignment wrapText="1"/>
    </xf>
    <xf fontId="0" fillId="4" borderId="0" numFmtId="0" xfId="0" applyFill="1"/>
    <xf fontId="5" fillId="0" borderId="0" numFmtId="0" xfId="0" applyFont="1" applyAlignment="1">
      <alignment wrapText="1"/>
    </xf>
    <xf fontId="5" fillId="0" borderId="0" numFmtId="0" xfId="0" applyFont="1" applyAlignment="1">
      <alignment horizontal="right" wrapText="1"/>
    </xf>
    <xf fontId="1" fillId="0" borderId="0" numFmtId="11" xfId="0" applyNumberFormat="1" applyFont="1" applyAlignment="1">
      <alignment horizontal="right" wrapText="1"/>
    </xf>
    <xf fontId="0" fillId="0" borderId="2" numFmtId="0" xfId="0" applyBorder="1"/>
    <xf fontId="0" fillId="0" borderId="4" numFmtId="0" xfId="0" applyBorder="1"/>
    <xf fontId="0" fillId="0" borderId="8" numFmtId="0" xfId="0" applyBorder="1"/>
    <xf fontId="0" fillId="0" borderId="9" numFmtId="0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:D11"/>
    </sheetView>
  </sheetViews>
  <sheetFormatPr defaultRowHeight="14.25"/>
  <cols>
    <col bestFit="1" customWidth="1" min="1" max="1" width="5.796875"/>
    <col customWidth="1" min="2" max="2" width="11.75390625"/>
    <col customWidth="1" min="3" max="3" width="11.375"/>
    <col customWidth="1" min="4" max="4" width="10.625"/>
    <col customWidth="1" min="5" max="5" width="9.625"/>
    <col bestFit="1" customWidth="1" min="6" max="6" width="14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4.65">
      <c r="A2" s="4">
        <v>5.0000000000000003e-002</v>
      </c>
      <c r="B2" s="5">
        <v>1.24</v>
      </c>
      <c r="C2" s="5">
        <v>2.e-002</v>
      </c>
      <c r="D2" s="6">
        <v>1.4142135619999999e-002</v>
      </c>
      <c r="E2" s="7">
        <v>1.26</v>
      </c>
    </row>
    <row r="3" ht="14.65">
      <c r="A3" s="8">
        <v>0.10000000000000001</v>
      </c>
      <c r="B3" s="9">
        <v>1.23</v>
      </c>
      <c r="C3" s="9">
        <v>2.9999999999999999e-002</v>
      </c>
      <c r="D3" s="10">
        <v>1.4142135619999999e-002</v>
      </c>
      <c r="E3" s="11" t="s">
        <v>5</v>
      </c>
    </row>
    <row r="4" ht="14.65">
      <c r="A4" s="8">
        <v>0.20000000000000001</v>
      </c>
      <c r="B4" s="12">
        <v>1.2</v>
      </c>
      <c r="C4" s="9">
        <v>5.9999999999999998e-002</v>
      </c>
      <c r="D4" s="10">
        <v>1.4142135619999999e-002</v>
      </c>
      <c r="E4" s="7">
        <v>1.e-002</v>
      </c>
    </row>
    <row r="5">
      <c r="A5" s="8">
        <v>0.29999999999999999</v>
      </c>
      <c r="B5" s="9">
        <v>1.1599999999999999</v>
      </c>
      <c r="C5" s="9">
        <v>0.10000000000000001</v>
      </c>
      <c r="D5" s="10">
        <v>1.4142135619999999e-002</v>
      </c>
      <c r="E5" s="13"/>
    </row>
    <row r="6">
      <c r="A6" s="8">
        <v>0.40000000000000002</v>
      </c>
      <c r="B6" s="9">
        <v>1.1299999999999999</v>
      </c>
      <c r="C6" s="9">
        <v>0.13</v>
      </c>
      <c r="D6" s="10">
        <v>1.4142135619999999e-002</v>
      </c>
      <c r="E6" s="13"/>
    </row>
    <row r="7">
      <c r="A7" s="8">
        <v>0.5</v>
      </c>
      <c r="B7" s="12">
        <v>1.1000000000000001</v>
      </c>
      <c r="C7" s="9">
        <v>0.16</v>
      </c>
      <c r="D7" s="10">
        <v>1.4142135619999999e-002</v>
      </c>
      <c r="E7" s="13"/>
    </row>
    <row r="8">
      <c r="A8" s="8">
        <v>0.59999999999999998</v>
      </c>
      <c r="B8" s="9">
        <v>1.0700000000000001</v>
      </c>
      <c r="C8" s="9">
        <v>0.19</v>
      </c>
      <c r="D8" s="10">
        <v>1.4142135619999999e-002</v>
      </c>
      <c r="E8" s="13"/>
    </row>
    <row r="9">
      <c r="A9" s="8">
        <v>0.69999999999999996</v>
      </c>
      <c r="B9" s="9">
        <v>1.04</v>
      </c>
      <c r="C9" s="9">
        <v>0.22</v>
      </c>
      <c r="D9" s="10">
        <v>1.4142135619999999e-002</v>
      </c>
      <c r="E9" s="13"/>
    </row>
    <row r="10">
      <c r="A10" s="8">
        <v>0.80000000000000004</v>
      </c>
      <c r="B10" s="9">
        <v>1.01</v>
      </c>
      <c r="C10" s="9">
        <v>0.25</v>
      </c>
      <c r="D10" s="10">
        <v>1.4142135619999999e-002</v>
      </c>
      <c r="E10" s="13"/>
    </row>
    <row r="11" ht="14.65">
      <c r="A11" s="14">
        <v>0.90000000000000002</v>
      </c>
      <c r="B11" s="15">
        <v>0.96999999999999997</v>
      </c>
      <c r="C11" s="15">
        <v>0.28999999999999998</v>
      </c>
      <c r="D11" s="16">
        <v>1.4142135619999999e-002</v>
      </c>
      <c r="E11" s="1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:D6"/>
    </sheetView>
  </sheetViews>
  <sheetFormatPr defaultRowHeight="14.25"/>
  <cols>
    <col bestFit="1" customWidth="1" min="2" max="2" width="12.796875"/>
    <col bestFit="1" customWidth="1" min="3" max="3" width="16.33203125"/>
    <col bestFit="1" customWidth="1" min="4" max="4" width="19"/>
    <col bestFit="1" customWidth="1" min="5" max="5" width="17.53125"/>
    <col bestFit="1" customWidth="1" min="6" max="6" width="14"/>
  </cols>
  <sheetData>
    <row r="1" ht="17.350000000000001" customHeight="1">
      <c r="A1" s="17" t="s">
        <v>0</v>
      </c>
      <c r="B1" s="18" t="s">
        <v>6</v>
      </c>
      <c r="C1" s="18" t="s">
        <v>7</v>
      </c>
      <c r="D1" s="18" t="s">
        <v>8</v>
      </c>
      <c r="E1" s="19" t="s">
        <v>9</v>
      </c>
    </row>
    <row r="2" ht="14.65">
      <c r="A2" s="4">
        <v>0.10000000000000001</v>
      </c>
      <c r="B2" s="5">
        <v>1.23</v>
      </c>
      <c r="C2" s="5">
        <f t="shared" ref="C2:C6" si="0">$E$2-B2</f>
        <v>3.0000000000000027e-002</v>
      </c>
      <c r="D2" s="6">
        <v>1.4142135619999999e-002</v>
      </c>
      <c r="E2" s="20">
        <v>1.26</v>
      </c>
    </row>
    <row r="3" ht="14.65">
      <c r="A3" s="8">
        <v>0.20000000000000001</v>
      </c>
      <c r="B3" s="9">
        <v>1.1899999999999999</v>
      </c>
      <c r="C3" s="9">
        <f t="shared" si="0"/>
        <v>7.0000000000000062e-002</v>
      </c>
      <c r="D3" s="10">
        <v>1.4142135619999999e-002</v>
      </c>
      <c r="E3" s="21" t="s">
        <v>10</v>
      </c>
    </row>
    <row r="4" ht="14.65">
      <c r="A4" s="8">
        <v>0.29999999999999999</v>
      </c>
      <c r="B4" s="9">
        <v>1.1599999999999999</v>
      </c>
      <c r="C4" s="9">
        <f t="shared" si="0"/>
        <v>0.10000000000000009</v>
      </c>
      <c r="D4" s="10">
        <v>1.4142135619999999e-002</v>
      </c>
      <c r="E4" s="7">
        <v>1.e-002</v>
      </c>
    </row>
    <row r="5">
      <c r="A5" s="8">
        <v>0.40000000000000002</v>
      </c>
      <c r="B5" s="9">
        <v>1.1299999999999999</v>
      </c>
      <c r="C5" s="9">
        <f t="shared" si="0"/>
        <v>0.13000000000000012</v>
      </c>
      <c r="D5" s="10">
        <v>1.4142135619999999e-002</v>
      </c>
    </row>
    <row r="6" ht="14.65">
      <c r="A6" s="14">
        <v>0.5</v>
      </c>
      <c r="B6" s="15">
        <v>1.1000000000000001</v>
      </c>
      <c r="C6" s="15">
        <f t="shared" si="0"/>
        <v>0.15999999999999992</v>
      </c>
      <c r="D6" s="16">
        <v>1.4142135619999999e-002</v>
      </c>
    </row>
    <row r="7">
      <c r="A7" s="13"/>
      <c r="B7" s="13"/>
    </row>
    <row r="8">
      <c r="A8" s="13"/>
      <c r="B8" s="13"/>
    </row>
    <row r="9">
      <c r="A9" s="13"/>
      <c r="B9" s="13"/>
    </row>
    <row r="10">
      <c r="A10" s="13"/>
      <c r="B10" s="13"/>
    </row>
    <row r="11">
      <c r="A11" s="13"/>
      <c r="B11" s="1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:D6"/>
    </sheetView>
  </sheetViews>
  <sheetFormatPr defaultRowHeight="14.25"/>
  <cols>
    <col bestFit="1" customWidth="1" min="2" max="2" width="12.796875"/>
    <col bestFit="1" customWidth="1" min="3" max="3" width="16.33203125"/>
    <col bestFit="1" customWidth="1" min="4" max="4" width="19"/>
    <col bestFit="1" customWidth="1" min="5" max="5" width="17.53125"/>
    <col bestFit="1" customWidth="1" min="6" max="6" width="14"/>
  </cols>
  <sheetData>
    <row r="1" ht="14.65">
      <c r="A1" s="17" t="s">
        <v>0</v>
      </c>
      <c r="B1" s="18" t="s">
        <v>6</v>
      </c>
      <c r="C1" s="18" t="s">
        <v>7</v>
      </c>
      <c r="D1" s="18" t="s">
        <v>8</v>
      </c>
      <c r="E1" s="19" t="s">
        <v>9</v>
      </c>
    </row>
    <row r="2" ht="14.65">
      <c r="A2" s="4">
        <v>5.0000000000000003e-002</v>
      </c>
      <c r="B2" s="5">
        <v>1.1100000000000001</v>
      </c>
      <c r="C2" s="22">
        <f t="shared" ref="C2:C6" si="1">$E$2-B2</f>
        <v>5.9999999999999831e-002</v>
      </c>
      <c r="D2" s="23">
        <f t="shared" ref="D2:D6" si="2">0.01*SQRT(2)</f>
        <v>1.4142135623730952e-002</v>
      </c>
      <c r="E2" s="24">
        <v>1.1699999999999999</v>
      </c>
    </row>
    <row r="3" ht="14.65">
      <c r="A3" s="8">
        <v>7.0000000000000007e-002</v>
      </c>
      <c r="B3" s="9">
        <v>1.0900000000000001</v>
      </c>
      <c r="C3" s="13">
        <f t="shared" si="1"/>
        <v>7.9999999999999849e-002</v>
      </c>
      <c r="D3" s="25">
        <f t="shared" si="2"/>
        <v>1.4142135623730952e-002</v>
      </c>
      <c r="E3" s="19" t="s">
        <v>10</v>
      </c>
      <c r="F3" s="13"/>
    </row>
    <row r="4" ht="14.65">
      <c r="A4" s="8">
        <v>0.10000000000000001</v>
      </c>
      <c r="B4" s="9">
        <v>1.0600000000000001</v>
      </c>
      <c r="C4" s="13">
        <f t="shared" si="1"/>
        <v>0.10999999999999988</v>
      </c>
      <c r="D4" s="25">
        <f t="shared" si="2"/>
        <v>1.4142135623730952e-002</v>
      </c>
      <c r="E4" s="24">
        <v>1.e-002</v>
      </c>
      <c r="F4" s="13"/>
    </row>
    <row r="5">
      <c r="A5" s="8">
        <v>0.14999999999999999</v>
      </c>
      <c r="B5" s="9">
        <v>1.01</v>
      </c>
      <c r="C5" s="13">
        <f t="shared" si="1"/>
        <v>0.15999999999999992</v>
      </c>
      <c r="D5" s="25">
        <f t="shared" si="2"/>
        <v>1.4142135623730952e-002</v>
      </c>
      <c r="E5" s="13"/>
      <c r="F5" s="13"/>
    </row>
    <row r="6" ht="14.65">
      <c r="A6" s="14">
        <v>0.20000000000000001</v>
      </c>
      <c r="B6" s="15">
        <v>0.94999999999999996</v>
      </c>
      <c r="C6" s="26">
        <f t="shared" si="1"/>
        <v>0.21999999999999997</v>
      </c>
      <c r="D6" s="27">
        <f t="shared" si="2"/>
        <v>1.4142135623730952e-002</v>
      </c>
      <c r="E6" s="13"/>
      <c r="F6" s="13"/>
    </row>
    <row r="7">
      <c r="D7" s="13"/>
      <c r="E7" s="1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7" activeCellId="0" sqref="H17"/>
    </sheetView>
  </sheetViews>
  <sheetFormatPr defaultRowHeight="14.25"/>
  <cols>
    <col customWidth="1" min="1" max="1" width="12"/>
    <col bestFit="1" customWidth="1" min="2" max="4" width="11.265625"/>
    <col customWidth="1" min="5" max="5" width="11.86328125"/>
    <col bestFit="1" customWidth="1" min="6" max="7" width="11.265625"/>
    <col bestFit="1" customWidth="1" min="8" max="8" width="15.3984375"/>
    <col bestFit="1" customWidth="1" min="9" max="9" width="13.796875"/>
    <col customWidth="1" min="12" max="12" width="22.3984375"/>
  </cols>
  <sheetData>
    <row r="1">
      <c r="A1" s="28" t="s">
        <v>11</v>
      </c>
      <c r="B1" s="29">
        <v>5.0000000000000003e-002</v>
      </c>
      <c r="C1" s="29">
        <v>0.14999999999999999</v>
      </c>
      <c r="D1" s="29">
        <v>0.25</v>
      </c>
      <c r="E1" s="29">
        <v>0.34999999999999998</v>
      </c>
      <c r="F1" s="29">
        <v>0.45000000000000001</v>
      </c>
      <c r="G1" s="30">
        <v>0.55000000000000004</v>
      </c>
      <c r="H1" s="28" t="s">
        <v>12</v>
      </c>
      <c r="I1" s="31" t="s">
        <v>13</v>
      </c>
    </row>
    <row r="2">
      <c r="A2" s="32">
        <v>1</v>
      </c>
      <c r="B2">
        <v>23.844000000000001</v>
      </c>
      <c r="C2">
        <v>14.49</v>
      </c>
      <c r="D2">
        <v>11.285</v>
      </c>
      <c r="E2">
        <v>9.6229999999999993</v>
      </c>
      <c r="F2">
        <v>8.3829999999999991</v>
      </c>
      <c r="G2" s="33">
        <v>7.6909999999999998</v>
      </c>
      <c r="H2" s="34">
        <f>$B1+$I$2/3</f>
        <v>5.3766666666666671e-002</v>
      </c>
      <c r="I2" s="33">
        <v>1.1299999999999999e-002</v>
      </c>
      <c r="L2" s="35"/>
    </row>
    <row r="3">
      <c r="A3" s="36">
        <v>2</v>
      </c>
      <c r="B3">
        <v>24.542999999999999</v>
      </c>
      <c r="C3">
        <v>14.622</v>
      </c>
      <c r="D3">
        <v>11.177</v>
      </c>
      <c r="E3">
        <v>9.5730000000000004</v>
      </c>
      <c r="F3">
        <v>8.4060000000000006</v>
      </c>
      <c r="G3" s="33">
        <v>7.5910000000000002</v>
      </c>
      <c r="H3" s="34">
        <f>$C1+$I$2/3</f>
        <v>0.15376666666666666</v>
      </c>
      <c r="I3" s="33"/>
      <c r="L3" s="35"/>
    </row>
    <row r="4">
      <c r="A4" s="36">
        <v>3</v>
      </c>
      <c r="B4">
        <v>24.129999999999999</v>
      </c>
      <c r="C4">
        <v>14.653</v>
      </c>
      <c r="D4">
        <v>11.301</v>
      </c>
      <c r="E4">
        <v>9.6159999999999997</v>
      </c>
      <c r="F4">
        <v>8.3879999999999999</v>
      </c>
      <c r="G4" s="33">
        <v>7.6589999999999998</v>
      </c>
      <c r="H4" s="34">
        <f>$D1+$I$2/3</f>
        <v>0.25376666666666664</v>
      </c>
      <c r="I4" s="33"/>
      <c r="L4" s="35"/>
    </row>
    <row r="5">
      <c r="A5" s="36">
        <v>4</v>
      </c>
      <c r="B5">
        <v>24.359999999999999</v>
      </c>
      <c r="C5">
        <v>14.534000000000001</v>
      </c>
      <c r="D5">
        <v>11.298999999999999</v>
      </c>
      <c r="E5">
        <v>9.6300000000000008</v>
      </c>
      <c r="F5">
        <v>8.3859999999999992</v>
      </c>
      <c r="G5" s="33">
        <v>7.5999999999999996</v>
      </c>
      <c r="H5" s="34">
        <f>$E1+$I$2/3</f>
        <v>0.35376666666666662</v>
      </c>
      <c r="I5" s="33"/>
      <c r="L5" s="35"/>
    </row>
    <row r="6" ht="14.65">
      <c r="A6" s="36">
        <v>5</v>
      </c>
      <c r="B6">
        <v>24.425000000000001</v>
      </c>
      <c r="C6">
        <v>14.542</v>
      </c>
      <c r="D6">
        <v>11.26</v>
      </c>
      <c r="E6">
        <v>9.6170000000000009</v>
      </c>
      <c r="F6">
        <v>8.4019999999999992</v>
      </c>
      <c r="G6" s="33">
        <v>7.6319999999999997</v>
      </c>
      <c r="H6" s="34">
        <f>$F1+$I$2/3</f>
        <v>0.45376666666666665</v>
      </c>
      <c r="I6" s="33"/>
      <c r="L6" s="35"/>
    </row>
    <row r="7" ht="14.65">
      <c r="A7" s="37" t="s">
        <v>14</v>
      </c>
      <c r="B7" s="38">
        <f>AVERAGE(B2:B6)</f>
        <v>24.260399999999997</v>
      </c>
      <c r="C7" s="38">
        <f>AVERAGE(C2:C6)</f>
        <v>14.568199999999999</v>
      </c>
      <c r="D7" s="38">
        <f>AVERAGE(D2:D6)</f>
        <v>11.264399999999998</v>
      </c>
      <c r="E7" s="38">
        <f t="shared" ref="E7:G7" si="3">AVERAGE(E2:E6)</f>
        <v>9.6117999999999988</v>
      </c>
      <c r="F7" s="38">
        <f t="shared" si="3"/>
        <v>8.3930000000000007</v>
      </c>
      <c r="G7" s="39">
        <f t="shared" si="3"/>
        <v>7.6345999999999989</v>
      </c>
      <c r="H7" s="40">
        <f>$G1+$I$2/3</f>
        <v>0.55376666666666674</v>
      </c>
      <c r="I7" s="41"/>
      <c r="L7" s="35"/>
    </row>
    <row r="8">
      <c r="A8" s="42" t="s">
        <v>15</v>
      </c>
      <c r="B8" s="43">
        <f>_xlfn.STDEV.S(B2:B6)</f>
        <v>0.27715934045238261</v>
      </c>
      <c r="C8" s="43">
        <f>_xlfn.STDEV.S(C2:C6)</f>
        <v>6.7187796510973619e-002</v>
      </c>
      <c r="D8" s="43">
        <f>_xlfn.STDEV.S(D2:D6)</f>
        <v>5.1524751333703808e-002</v>
      </c>
      <c r="E8" s="43">
        <f>_xlfn.STDEV.S(E2:E6)</f>
        <v>2.2398660674245618e-002</v>
      </c>
      <c r="F8" s="43">
        <f>_xlfn.STDEV.S(F2:F6)</f>
        <v>1.0295630140987376e-002</v>
      </c>
      <c r="G8" s="44">
        <f>_xlfn.STDEV.S(G2:G6)</f>
        <v>4.1476499370125187e-002</v>
      </c>
    </row>
    <row r="9" ht="14.65">
      <c r="A9" s="45" t="s">
        <v>16</v>
      </c>
      <c r="B9" s="46">
        <f>B8/SQRT(5)</f>
        <v>0.12394942517010696</v>
      </c>
      <c r="C9" s="46">
        <f>C8/SQRT(5)</f>
        <v>3.0047296051392041e-002</v>
      </c>
      <c r="D9" s="46">
        <f>D8/SQRT(5)</f>
        <v>2.3042569301186932e-002</v>
      </c>
      <c r="E9" s="46">
        <f t="shared" ref="E9:G9" si="4">E8/SQRT(5)</f>
        <v>1.0016985574512895e-002</v>
      </c>
      <c r="F9" s="46">
        <f t="shared" si="4"/>
        <v>4.6043457732887032e-003</v>
      </c>
      <c r="G9" s="47">
        <f t="shared" si="4"/>
        <v>1.8548854412065423e-002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:D6"/>
    </sheetView>
  </sheetViews>
  <sheetFormatPr defaultRowHeight="14.25"/>
  <cols>
    <col customWidth="1" min="1" max="1" width="8.1328125"/>
    <col bestFit="1" customWidth="1" min="2" max="2" width="12.796875"/>
    <col bestFit="1" customWidth="1" min="3" max="3" width="16.33203125"/>
    <col bestFit="1" customWidth="1" min="4" max="4" width="19"/>
    <col bestFit="1" customWidth="1" min="5" max="5" width="17.53125"/>
  </cols>
  <sheetData>
    <row r="1" ht="14.65">
      <c r="A1" s="17" t="s">
        <v>0</v>
      </c>
      <c r="B1" s="18" t="s">
        <v>6</v>
      </c>
      <c r="C1" s="18" t="s">
        <v>7</v>
      </c>
      <c r="D1" s="18" t="s">
        <v>8</v>
      </c>
      <c r="E1" s="19" t="s">
        <v>9</v>
      </c>
    </row>
    <row r="2" ht="14.65">
      <c r="A2" s="4">
        <v>7.0000000000000007e-002</v>
      </c>
      <c r="B2" s="5">
        <v>0.98999999999999999</v>
      </c>
      <c r="C2" s="22">
        <f t="shared" ref="C2:C6" si="5">$E$2-B2</f>
        <v>9.000000000000008e-002</v>
      </c>
      <c r="D2" s="23">
        <f t="shared" ref="D2:D6" si="6">0.01*SQRT(2)</f>
        <v>1.4142135623730952e-002</v>
      </c>
      <c r="E2" s="48">
        <v>1.0800000000000001</v>
      </c>
    </row>
    <row r="3" ht="14.65">
      <c r="A3" s="8">
        <v>0.10000000000000001</v>
      </c>
      <c r="B3" s="9">
        <v>0.93999999999999995</v>
      </c>
      <c r="C3" s="13">
        <f t="shared" si="5"/>
        <v>0.14000000000000012</v>
      </c>
      <c r="D3" s="25">
        <f t="shared" si="6"/>
        <v>1.4142135623730952e-002</v>
      </c>
      <c r="E3" s="21" t="s">
        <v>10</v>
      </c>
    </row>
    <row r="4" ht="14.65">
      <c r="A4" s="8">
        <v>0.12</v>
      </c>
      <c r="B4" s="9">
        <v>0.91000000000000003</v>
      </c>
      <c r="C4" s="13">
        <f t="shared" si="5"/>
        <v>0.17000000000000004</v>
      </c>
      <c r="D4" s="25">
        <f t="shared" si="6"/>
        <v>1.4142135623730952e-002</v>
      </c>
      <c r="E4" s="7">
        <v>1.e-002</v>
      </c>
    </row>
    <row r="5">
      <c r="A5" s="8">
        <v>0.14999999999999999</v>
      </c>
      <c r="B5" s="9">
        <v>0.87</v>
      </c>
      <c r="C5" s="13">
        <f t="shared" si="5"/>
        <v>0.21000000000000008</v>
      </c>
      <c r="D5" s="25">
        <f t="shared" si="6"/>
        <v>1.4142135623730952e-002</v>
      </c>
    </row>
    <row r="6" ht="14.65">
      <c r="A6" s="14">
        <v>0.20000000000000001</v>
      </c>
      <c r="B6" s="15">
        <v>0.80000000000000004</v>
      </c>
      <c r="C6" s="26">
        <f t="shared" si="5"/>
        <v>0.28000000000000003</v>
      </c>
      <c r="D6" s="27">
        <f t="shared" si="6"/>
        <v>1.4142135623730952e-002</v>
      </c>
    </row>
    <row r="7">
      <c r="D7" s="13"/>
      <c r="E7" s="13"/>
      <c r="F7" s="13"/>
    </row>
    <row r="8">
      <c r="D8" s="13"/>
      <c r="E8" s="13"/>
      <c r="F8" s="13"/>
      <c r="G8" s="49"/>
    </row>
    <row r="9">
      <c r="D9" s="13"/>
      <c r="E9" s="13"/>
      <c r="F9" s="13"/>
    </row>
    <row r="10">
      <c r="D10" s="13"/>
      <c r="E10" s="13"/>
      <c r="F10" s="1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:D7"/>
    </sheetView>
  </sheetViews>
  <sheetFormatPr defaultRowHeight="14.25"/>
  <cols>
    <col bestFit="1" customWidth="1" min="1" max="1" width="5.796875"/>
    <col bestFit="1" customWidth="1" min="2" max="2" width="12.796875"/>
    <col bestFit="1" customWidth="1" min="3" max="3" width="16.33203125"/>
    <col bestFit="1" customWidth="1" min="4" max="4" width="19"/>
    <col bestFit="1" customWidth="1" min="5" max="5" width="17.53125"/>
  </cols>
  <sheetData>
    <row r="1" ht="14.65">
      <c r="A1" s="17" t="s">
        <v>0</v>
      </c>
      <c r="B1" s="18" t="s">
        <v>6</v>
      </c>
      <c r="C1" s="18" t="s">
        <v>7</v>
      </c>
      <c r="D1" s="21" t="s">
        <v>8</v>
      </c>
      <c r="E1" s="19" t="s">
        <v>9</v>
      </c>
    </row>
    <row r="2" ht="14.65">
      <c r="A2" s="4">
        <v>0.10000000000000001</v>
      </c>
      <c r="B2" s="5">
        <v>1.25</v>
      </c>
      <c r="C2" s="22">
        <f t="shared" ref="C2:C7" si="7">$E$2-B2</f>
        <v>2.0000000000000018e-002</v>
      </c>
      <c r="D2" s="23">
        <f t="shared" ref="D2:D7" si="8">0.01*SQRT(2)</f>
        <v>1.4142135623730952e-002</v>
      </c>
      <c r="E2" s="50">
        <v>1.27</v>
      </c>
    </row>
    <row r="3" ht="14.65">
      <c r="A3" s="8">
        <v>0.20000000000000001</v>
      </c>
      <c r="B3" s="9">
        <v>1.23</v>
      </c>
      <c r="C3" s="13">
        <f t="shared" si="7"/>
        <v>4.0000000000000036e-002</v>
      </c>
      <c r="D3" s="25">
        <f t="shared" si="8"/>
        <v>1.4142135623730952e-002</v>
      </c>
      <c r="E3" s="19" t="s">
        <v>10</v>
      </c>
    </row>
    <row r="4" ht="14.65">
      <c r="A4" s="8">
        <v>0.5</v>
      </c>
      <c r="B4" s="9">
        <v>1.1799999999999999</v>
      </c>
      <c r="C4" s="13">
        <f t="shared" si="7"/>
        <v>9.000000000000008e-002</v>
      </c>
      <c r="D4" s="25">
        <f t="shared" si="8"/>
        <v>1.4142135623730952e-002</v>
      </c>
      <c r="E4" s="24">
        <v>1.e-002</v>
      </c>
    </row>
    <row r="5">
      <c r="A5" s="8">
        <v>0.69999999999999996</v>
      </c>
      <c r="B5" s="9">
        <v>1.1499999999999999</v>
      </c>
      <c r="C5" s="13">
        <f t="shared" si="7"/>
        <v>0.12000000000000011</v>
      </c>
      <c r="D5" s="25">
        <f t="shared" si="8"/>
        <v>1.4142135623730952e-002</v>
      </c>
    </row>
    <row r="6">
      <c r="A6" s="8">
        <v>0.90000000000000002</v>
      </c>
      <c r="B6" s="9">
        <v>1.1200000000000001</v>
      </c>
      <c r="C6" s="13">
        <f t="shared" si="7"/>
        <v>0.14999999999999991</v>
      </c>
      <c r="D6" s="25">
        <f t="shared" si="8"/>
        <v>1.4142135623730952e-002</v>
      </c>
    </row>
    <row r="7" ht="14.65">
      <c r="A7" s="14">
        <v>1</v>
      </c>
      <c r="B7" s="15">
        <v>1.1000000000000001</v>
      </c>
      <c r="C7" s="26">
        <f t="shared" si="7"/>
        <v>0.16999999999999993</v>
      </c>
      <c r="D7" s="27">
        <f t="shared" si="8"/>
        <v>1.4142135623730952e-002</v>
      </c>
    </row>
    <row r="8">
      <c r="D8" s="13"/>
      <c r="E8" s="13"/>
      <c r="F8" s="1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6" activeCellId="0" sqref="E6"/>
    </sheetView>
  </sheetViews>
  <sheetFormatPr defaultRowHeight="14.25"/>
  <cols>
    <col bestFit="1" customWidth="1" min="1" max="1" width="7.33203125"/>
    <col bestFit="1" customWidth="1" min="2" max="2" width="7.1328125"/>
    <col bestFit="1" customWidth="1" min="3" max="3" width="11.46484375"/>
  </cols>
  <sheetData>
    <row r="1" ht="25.5">
      <c r="A1" s="51" t="s">
        <v>17</v>
      </c>
      <c r="B1" s="51" t="s">
        <v>18</v>
      </c>
      <c r="C1" s="52" t="s">
        <v>19</v>
      </c>
      <c r="D1" s="49"/>
      <c r="E1" s="53"/>
      <c r="F1" s="53"/>
      <c r="G1" s="9"/>
    </row>
    <row r="2">
      <c r="A2" s="13">
        <v>2.2400000000000002</v>
      </c>
      <c r="B2" s="9">
        <v>1.1223000000000001</v>
      </c>
      <c r="C2">
        <v>0</v>
      </c>
      <c r="D2" s="54"/>
      <c r="E2" s="54"/>
      <c r="F2" s="54"/>
    </row>
    <row r="3">
      <c r="A3" s="9">
        <v>2.2599999999999998</v>
      </c>
      <c r="B3" s="9">
        <v>1.1224000000000001</v>
      </c>
      <c r="C3">
        <v>1.e-002</v>
      </c>
      <c r="D3" s="54"/>
      <c r="E3" s="54"/>
      <c r="F3" s="54"/>
    </row>
    <row r="4">
      <c r="A4" s="9">
        <v>2.2799999999999998</v>
      </c>
      <c r="B4" s="9">
        <v>1.1227</v>
      </c>
      <c r="C4">
        <v>2.e-002</v>
      </c>
      <c r="D4" s="54"/>
      <c r="E4" s="54"/>
      <c r="F4" s="54"/>
    </row>
    <row r="5">
      <c r="A5" s="9">
        <v>2.2999999999999998</v>
      </c>
      <c r="B5" s="9">
        <v>1.1234</v>
      </c>
      <c r="C5">
        <v>2.9999999999999999e-002</v>
      </c>
      <c r="D5" s="54"/>
      <c r="E5" s="54"/>
      <c r="F5" s="54"/>
    </row>
    <row r="6">
      <c r="A6" s="9">
        <v>2.3199999999999998</v>
      </c>
      <c r="B6" s="9">
        <v>1.1241000000000001</v>
      </c>
      <c r="C6">
        <v>4.0000000000000001e-002</v>
      </c>
      <c r="D6" s="54"/>
      <c r="E6" s="54"/>
      <c r="F6" s="54"/>
    </row>
    <row r="7">
      <c r="A7" s="9">
        <v>2.3399999999999999</v>
      </c>
      <c r="B7" s="9">
        <v>1.1249</v>
      </c>
      <c r="C7">
        <v>5.0000000000000003e-002</v>
      </c>
      <c r="D7" s="54"/>
      <c r="E7" s="54"/>
      <c r="F7" s="54"/>
    </row>
    <row r="8">
      <c r="A8" s="9">
        <v>2.3599999999999999</v>
      </c>
      <c r="B8" s="9">
        <v>1.1258999999999999</v>
      </c>
      <c r="C8">
        <v>5.9999999999999998e-002</v>
      </c>
      <c r="D8" s="54"/>
      <c r="E8" s="54"/>
      <c r="F8" s="54"/>
    </row>
    <row r="9">
      <c r="A9" s="9">
        <v>2.3799999999999999</v>
      </c>
      <c r="B9" s="9">
        <v>1.1273</v>
      </c>
      <c r="C9">
        <v>5.9999999999999998e-002</v>
      </c>
      <c r="D9" s="54"/>
      <c r="E9" s="54"/>
      <c r="F9" s="54"/>
    </row>
    <row r="10">
      <c r="A10" s="9">
        <v>2.3999999999999999</v>
      </c>
      <c r="B10" s="9">
        <v>1.1284000000000001</v>
      </c>
      <c r="C10">
        <v>7.0000000000000007e-002</v>
      </c>
      <c r="D10" s="54"/>
      <c r="E10" s="54"/>
      <c r="F10" s="54"/>
    </row>
    <row r="11">
      <c r="A11" s="9">
        <v>2.4199999999999999</v>
      </c>
      <c r="B11" s="9">
        <v>1.1299999999999999</v>
      </c>
      <c r="C11">
        <v>7.0000000000000007e-002</v>
      </c>
      <c r="D11" s="54"/>
      <c r="E11" s="54"/>
      <c r="F11" s="54"/>
    </row>
    <row r="12">
      <c r="A12" s="9">
        <v>2.4399999999999999</v>
      </c>
      <c r="B12" s="9">
        <v>1.131</v>
      </c>
      <c r="C12">
        <v>5.9999999999999998e-002</v>
      </c>
      <c r="D12" s="54"/>
      <c r="E12" s="54"/>
      <c r="F12" s="54"/>
    </row>
    <row r="13">
      <c r="A13" s="9">
        <v>2.46</v>
      </c>
      <c r="B13" s="9">
        <v>1.1326000000000001</v>
      </c>
      <c r="C13">
        <v>5.9999999999999998e-002</v>
      </c>
      <c r="D13" s="54"/>
      <c r="E13" s="54"/>
      <c r="F13" s="54"/>
    </row>
    <row r="14">
      <c r="A14" s="9">
        <v>2.48</v>
      </c>
      <c r="B14" s="9">
        <v>1.1335999999999999</v>
      </c>
      <c r="C14">
        <v>5.9999999999999998e-002</v>
      </c>
      <c r="D14" s="54"/>
      <c r="E14" s="54"/>
      <c r="F14" s="54"/>
    </row>
    <row r="15">
      <c r="A15" s="9">
        <v>2.5</v>
      </c>
      <c r="B15" s="9">
        <v>1.1349</v>
      </c>
      <c r="C15">
        <v>5.0000000000000003e-002</v>
      </c>
      <c r="D15" s="54"/>
      <c r="E15" s="54"/>
      <c r="F15" s="54"/>
    </row>
    <row r="16">
      <c r="A16" s="9">
        <v>2.52</v>
      </c>
      <c r="B16" s="9">
        <v>1.1358999999999999</v>
      </c>
      <c r="C16">
        <v>5.0000000000000003e-002</v>
      </c>
      <c r="D16" s="54"/>
      <c r="E16" s="54"/>
      <c r="F16" s="54"/>
    </row>
    <row r="17">
      <c r="A17" s="9">
        <v>2.54</v>
      </c>
      <c r="B17" s="9">
        <v>1.1368</v>
      </c>
      <c r="C17">
        <v>4.0000000000000001e-002</v>
      </c>
      <c r="D17" s="54"/>
      <c r="E17" s="54"/>
      <c r="F17" s="54"/>
    </row>
    <row r="18">
      <c r="A18" s="9">
        <v>2.5600000000000001</v>
      </c>
      <c r="B18" s="9">
        <v>1.1374</v>
      </c>
      <c r="C18">
        <v>2.9999999999999999e-002</v>
      </c>
      <c r="D18" s="54"/>
      <c r="E18" s="54"/>
      <c r="F18" s="54"/>
    </row>
    <row r="19">
      <c r="A19" s="9">
        <v>2.5800000000000001</v>
      </c>
      <c r="B19" s="9">
        <v>1.1378999999999999</v>
      </c>
      <c r="C19">
        <v>2.e-002</v>
      </c>
      <c r="D19" s="54"/>
      <c r="E19" s="54"/>
      <c r="F19" s="54"/>
    </row>
    <row r="20">
      <c r="A20" s="9">
        <v>2.6000000000000001</v>
      </c>
      <c r="B20" s="9">
        <v>1.1380999999999999</v>
      </c>
      <c r="C20">
        <v>1.e-002</v>
      </c>
      <c r="D20" s="54"/>
      <c r="E20" s="54"/>
      <c r="F20" s="54"/>
    </row>
    <row r="21">
      <c r="A21" s="9">
        <v>2.6200000000000001</v>
      </c>
      <c r="B21" s="9">
        <v>1.1382000000000001</v>
      </c>
      <c r="C21">
        <v>-1.e-002</v>
      </c>
      <c r="D21" s="54"/>
      <c r="E21" s="54"/>
      <c r="F21" s="54"/>
    </row>
    <row r="22">
      <c r="A22" s="9">
        <v>2.6400000000000001</v>
      </c>
      <c r="B22" s="9">
        <v>1.1377999999999999</v>
      </c>
      <c r="C22">
        <v>-2.e-002</v>
      </c>
      <c r="D22" s="54"/>
      <c r="E22" s="54"/>
      <c r="F22" s="54"/>
    </row>
    <row r="23">
      <c r="A23" s="9">
        <v>2.6600000000000001</v>
      </c>
      <c r="B23" s="9">
        <v>1.1375</v>
      </c>
      <c r="C23">
        <v>-2.e-002</v>
      </c>
      <c r="D23" s="54"/>
      <c r="E23" s="54"/>
      <c r="F23" s="54"/>
    </row>
    <row r="24">
      <c r="A24" s="9">
        <v>2.6800000000000002</v>
      </c>
      <c r="B24" s="9">
        <v>1.1368</v>
      </c>
      <c r="C24">
        <v>-2.9999999999999999e-002</v>
      </c>
      <c r="D24" s="54"/>
      <c r="E24" s="54"/>
      <c r="F24" s="54"/>
    </row>
    <row r="25">
      <c r="A25" s="9">
        <v>2.7000000000000002</v>
      </c>
      <c r="B25" s="9">
        <v>1.1365000000000001</v>
      </c>
      <c r="C25">
        <v>-4.0000000000000001e-002</v>
      </c>
      <c r="D25" s="54"/>
      <c r="E25" s="54"/>
      <c r="F25" s="54"/>
    </row>
    <row r="26">
      <c r="A26" s="9">
        <v>2.7200000000000002</v>
      </c>
      <c r="B26" s="9">
        <v>1.135</v>
      </c>
      <c r="C26">
        <v>-5.0000000000000003e-002</v>
      </c>
      <c r="D26" s="9"/>
      <c r="E26" s="9"/>
      <c r="F26" s="9"/>
    </row>
    <row r="27">
      <c r="A27" s="9">
        <v>2.7400000000000002</v>
      </c>
      <c r="B27" s="9">
        <v>1.1339999999999999</v>
      </c>
      <c r="C27">
        <v>-5.9999999999999998e-002</v>
      </c>
      <c r="D27" s="9"/>
      <c r="E27" s="9"/>
      <c r="F27" s="9"/>
    </row>
    <row r="28">
      <c r="A28" s="9">
        <v>2.7599999999999998</v>
      </c>
      <c r="B28" s="9">
        <v>1.1331</v>
      </c>
      <c r="C28">
        <v>-5.9999999999999998e-002</v>
      </c>
      <c r="D28" s="9"/>
      <c r="E28" s="9"/>
      <c r="F28" s="55"/>
    </row>
    <row r="29">
      <c r="A29" s="9">
        <v>2.7799999999999998</v>
      </c>
      <c r="B29" s="9">
        <v>1.1312</v>
      </c>
      <c r="C29">
        <v>-7.0000000000000007e-002</v>
      </c>
      <c r="D29" s="9"/>
      <c r="E29" s="9"/>
      <c r="F29" s="9"/>
    </row>
    <row r="30">
      <c r="A30" s="9">
        <v>2.7999999999999998</v>
      </c>
      <c r="B30" s="9">
        <v>1.1303000000000001</v>
      </c>
      <c r="C30">
        <v>-7.0000000000000007e-002</v>
      </c>
      <c r="D30" s="9"/>
      <c r="E30" s="9"/>
      <c r="F30" s="9"/>
    </row>
    <row r="31">
      <c r="A31" s="9">
        <v>2.8199999999999998</v>
      </c>
      <c r="B31" s="9">
        <v>1.1287</v>
      </c>
      <c r="C31">
        <v>-5.9999999999999998e-002</v>
      </c>
      <c r="D31" s="9"/>
      <c r="E31" s="9"/>
      <c r="F31" s="9"/>
    </row>
    <row r="32">
      <c r="A32" s="9">
        <v>2.8399999999999999</v>
      </c>
      <c r="B32" s="9">
        <v>1.1274999999999999</v>
      </c>
      <c r="C32">
        <v>-7.0000000000000007e-002</v>
      </c>
      <c r="D32" s="9"/>
      <c r="E32" s="9"/>
      <c r="F32" s="9"/>
    </row>
    <row r="33">
      <c r="A33" s="9">
        <v>2.8599999999999999</v>
      </c>
      <c r="B33" s="9">
        <v>1.1263000000000001</v>
      </c>
      <c r="C33">
        <v>-5.9999999999999998e-002</v>
      </c>
      <c r="D33" s="9"/>
      <c r="E33" s="9"/>
      <c r="F33" s="9"/>
    </row>
    <row r="34">
      <c r="A34" s="9">
        <v>2.8799999999999999</v>
      </c>
      <c r="B34" s="9">
        <v>1.1248</v>
      </c>
      <c r="C34">
        <v>-5.0000000000000003e-002</v>
      </c>
      <c r="D34" s="9"/>
      <c r="E34" s="9"/>
      <c r="F34" s="9"/>
    </row>
    <row r="35">
      <c r="A35" s="9">
        <v>2.8999999999999999</v>
      </c>
      <c r="B35" s="9">
        <v>1.1242000000000001</v>
      </c>
      <c r="C35">
        <v>-4.0000000000000001e-002</v>
      </c>
      <c r="D35" s="9"/>
      <c r="E35" s="9"/>
      <c r="F35" s="9"/>
    </row>
    <row r="36">
      <c r="A36" s="9">
        <v>2.9199999999999999</v>
      </c>
      <c r="B36" s="9">
        <v>1.1233</v>
      </c>
      <c r="C36">
        <v>-4.0000000000000001e-002</v>
      </c>
      <c r="D36" s="9"/>
      <c r="E36" s="9"/>
      <c r="F36" s="9"/>
    </row>
    <row r="37">
      <c r="A37" s="9">
        <v>2.9399999999999999</v>
      </c>
      <c r="B37" s="9">
        <v>1.1225000000000001</v>
      </c>
      <c r="C37">
        <v>-2.9999999999999999e-002</v>
      </c>
      <c r="D37" s="9"/>
      <c r="E37" s="9"/>
      <c r="F37" s="9"/>
    </row>
    <row r="38">
      <c r="A38" s="9">
        <v>2.96</v>
      </c>
      <c r="B38" s="9">
        <v>1.1222000000000001</v>
      </c>
      <c r="C38">
        <v>-2.e-002</v>
      </c>
      <c r="D38" s="9"/>
      <c r="E38" s="9"/>
      <c r="F38" s="9"/>
    </row>
    <row r="39">
      <c r="A39" s="9"/>
      <c r="B39" s="9"/>
      <c r="D39" s="9"/>
      <c r="E39" s="9"/>
      <c r="F39" s="9"/>
    </row>
    <row r="40">
      <c r="A40" s="9"/>
      <c r="B40" s="9"/>
      <c r="D40" s="9"/>
      <c r="E40" s="9"/>
      <c r="F40" s="9"/>
    </row>
    <row r="41">
      <c r="A41" s="9"/>
      <c r="B41" s="9"/>
      <c r="D41" s="9"/>
      <c r="E41" s="9"/>
      <c r="F41" s="9"/>
    </row>
    <row r="42">
      <c r="A42" s="9"/>
      <c r="B42" s="9"/>
      <c r="D42" s="9"/>
      <c r="E42" s="9"/>
      <c r="F42" s="9"/>
    </row>
    <row r="43">
      <c r="A43" s="9"/>
      <c r="B43" s="9"/>
      <c r="D43" s="9"/>
      <c r="E43" s="9"/>
      <c r="F43" s="9"/>
    </row>
    <row r="44">
      <c r="A44" s="9"/>
      <c r="B44" s="9"/>
      <c r="D44" s="9"/>
      <c r="E44" s="9"/>
      <c r="F44" s="9"/>
    </row>
    <row r="45">
      <c r="A45" s="9"/>
      <c r="B45" s="9"/>
      <c r="D45" s="9"/>
      <c r="E45" s="9"/>
      <c r="F45" s="9"/>
    </row>
    <row r="46">
      <c r="A46" s="9"/>
      <c r="B46" s="9"/>
      <c r="D46" s="9"/>
      <c r="E46" s="9"/>
      <c r="F46" s="9"/>
    </row>
    <row r="47">
      <c r="A47" s="9"/>
      <c r="B47" s="9"/>
      <c r="D47" s="9"/>
      <c r="E47" s="9"/>
      <c r="F47" s="9"/>
    </row>
    <row r="48">
      <c r="A48" s="9"/>
      <c r="B48" s="9"/>
      <c r="D48" s="9"/>
      <c r="E48" s="9"/>
      <c r="F48" s="9"/>
    </row>
    <row r="49">
      <c r="A49" s="9"/>
      <c r="B49" s="9"/>
      <c r="D49" s="9"/>
      <c r="E49" s="9"/>
      <c r="F49" s="9"/>
    </row>
    <row r="50">
      <c r="A50" s="9"/>
      <c r="B50" s="9"/>
      <c r="D50" s="9"/>
      <c r="E50" s="9"/>
      <c r="F50" s="9"/>
    </row>
    <row r="51">
      <c r="A51" s="9"/>
      <c r="B51" s="9"/>
      <c r="D51" s="9"/>
      <c r="E51" s="9"/>
      <c r="F51" s="9"/>
    </row>
    <row r="52">
      <c r="A52" s="9"/>
      <c r="B52" s="9"/>
      <c r="D52" s="9"/>
      <c r="E52" s="9"/>
      <c r="F52" s="9"/>
    </row>
    <row r="53">
      <c r="A53" s="9"/>
      <c r="B53" s="9"/>
      <c r="D53" s="9"/>
      <c r="E53" s="9"/>
      <c r="F53" s="9"/>
    </row>
    <row r="54">
      <c r="A54" s="9"/>
      <c r="B54" s="9"/>
      <c r="D54" s="9"/>
      <c r="E54" s="9"/>
      <c r="F54" s="9"/>
    </row>
    <row r="55">
      <c r="A55" s="9"/>
      <c r="B55" s="9"/>
      <c r="D55" s="9"/>
      <c r="E55" s="9"/>
      <c r="F55" s="9"/>
    </row>
    <row r="56">
      <c r="A56" s="9"/>
      <c r="B56" s="9"/>
      <c r="D56" s="9"/>
      <c r="E56" s="9"/>
      <c r="F56" s="9"/>
    </row>
    <row r="57">
      <c r="A57" s="9"/>
      <c r="B57" s="9"/>
      <c r="D57" s="9"/>
      <c r="E57" s="9"/>
      <c r="F57" s="9"/>
    </row>
    <row r="58">
      <c r="A58" s="9"/>
      <c r="B58" s="9"/>
      <c r="D58" s="9"/>
      <c r="E58" s="9"/>
      <c r="F58" s="9"/>
    </row>
    <row r="59">
      <c r="A59" s="9"/>
      <c r="B59" s="9"/>
      <c r="D59" s="9"/>
      <c r="E59" s="9"/>
      <c r="F59" s="9"/>
    </row>
    <row r="60">
      <c r="A60" s="9"/>
      <c r="B60" s="9"/>
      <c r="D60" s="9"/>
      <c r="E60" s="9"/>
      <c r="F60" s="9"/>
    </row>
    <row r="61">
      <c r="A61" s="9"/>
      <c r="B61" s="9"/>
      <c r="D61" s="9"/>
      <c r="E61" s="9"/>
      <c r="F61" s="9"/>
    </row>
    <row r="62">
      <c r="A62" s="9"/>
      <c r="B62" s="9"/>
      <c r="D62" s="9"/>
      <c r="E62" s="9"/>
      <c r="F62" s="9"/>
    </row>
    <row r="63">
      <c r="A63" s="9"/>
      <c r="B63" s="9"/>
      <c r="D63" s="9"/>
      <c r="E63" s="9"/>
      <c r="F63" s="9"/>
    </row>
    <row r="64">
      <c r="A64" s="9"/>
      <c r="B64" s="9"/>
      <c r="D64" s="9"/>
      <c r="E64" s="9"/>
      <c r="F64" s="9"/>
    </row>
    <row r="65">
      <c r="A65" s="9"/>
      <c r="B65" s="9"/>
      <c r="D65" s="9"/>
      <c r="E65" s="9"/>
      <c r="F65" s="9"/>
    </row>
    <row r="66">
      <c r="A66" s="9"/>
      <c r="B66" s="9"/>
      <c r="D66" s="9"/>
      <c r="E66" s="9"/>
      <c r="F66" s="9"/>
    </row>
    <row r="67">
      <c r="A67" s="9"/>
      <c r="B67" s="9"/>
      <c r="D67" s="9"/>
      <c r="E67" s="9"/>
      <c r="F67" s="9"/>
    </row>
    <row r="68">
      <c r="A68" s="9"/>
      <c r="B68" s="9"/>
      <c r="D68" s="9"/>
      <c r="E68" s="9"/>
      <c r="F68" s="9"/>
    </row>
    <row r="69">
      <c r="A69" s="9"/>
      <c r="B69" s="9"/>
      <c r="D69" s="9"/>
      <c r="E69" s="9"/>
      <c r="F69" s="9"/>
    </row>
    <row r="70">
      <c r="A70" s="9"/>
      <c r="B70" s="9"/>
      <c r="D70" s="9"/>
      <c r="E70" s="9"/>
      <c r="F70" s="9"/>
    </row>
    <row r="71">
      <c r="A71" s="9"/>
      <c r="B71" s="9"/>
      <c r="D71" s="9"/>
      <c r="E71" s="9"/>
      <c r="F71" s="9"/>
    </row>
    <row r="72">
      <c r="A72" s="9"/>
      <c r="B72" s="9"/>
      <c r="D72" s="9"/>
      <c r="E72" s="9"/>
      <c r="F72" s="9"/>
    </row>
    <row r="73">
      <c r="A73" s="9"/>
      <c r="B73" s="9"/>
      <c r="D73" s="9"/>
      <c r="E73" s="9"/>
      <c r="F73" s="9"/>
    </row>
    <row r="74">
      <c r="A74" s="9"/>
      <c r="B74" s="9"/>
      <c r="D74" s="9"/>
      <c r="E74" s="9"/>
      <c r="F74" s="9"/>
    </row>
    <row r="75">
      <c r="A75" s="9"/>
      <c r="B75" s="9"/>
      <c r="D75" s="9"/>
      <c r="E75" s="9"/>
      <c r="F75" s="9"/>
    </row>
    <row r="76">
      <c r="A76" s="9"/>
      <c r="B76" s="9"/>
      <c r="D76" s="9"/>
      <c r="E76" s="9"/>
      <c r="F76" s="9"/>
    </row>
    <row r="77">
      <c r="A77" s="9"/>
      <c r="B77" s="9"/>
      <c r="D77" s="9"/>
      <c r="E77" s="9"/>
      <c r="F77" s="9"/>
    </row>
    <row r="78">
      <c r="A78" s="9"/>
      <c r="B78" s="9"/>
      <c r="D78" s="9"/>
      <c r="E78" s="9"/>
      <c r="F78" s="9"/>
    </row>
    <row r="79">
      <c r="A79" s="9"/>
      <c r="B79" s="9"/>
      <c r="D79" s="9"/>
      <c r="E79" s="9"/>
      <c r="F79" s="9"/>
    </row>
    <row r="80">
      <c r="A80" s="9"/>
      <c r="B80" s="9"/>
      <c r="D80" s="9"/>
      <c r="E80" s="9"/>
      <c r="F80" s="9"/>
    </row>
    <row r="81">
      <c r="A81" s="9"/>
      <c r="B81" s="9"/>
      <c r="D81" s="9"/>
      <c r="E81" s="9"/>
      <c r="F81" s="9"/>
    </row>
    <row r="82">
      <c r="A82" s="9"/>
      <c r="B82" s="9"/>
      <c r="D82" s="9"/>
      <c r="E82" s="9"/>
      <c r="F82" s="9"/>
    </row>
    <row r="83">
      <c r="A83" s="9"/>
      <c r="B83" s="9"/>
      <c r="D83" s="9"/>
      <c r="E83" s="9"/>
      <c r="F83" s="9"/>
    </row>
    <row r="84">
      <c r="A84" s="9"/>
      <c r="B84" s="9"/>
      <c r="D84" s="9"/>
      <c r="E84" s="9"/>
      <c r="F84" s="9"/>
    </row>
    <row r="85">
      <c r="A85" s="9"/>
      <c r="B85" s="9"/>
      <c r="D85" s="9"/>
      <c r="E85" s="9"/>
      <c r="F85" s="9"/>
    </row>
    <row r="86">
      <c r="A86" s="9"/>
      <c r="B86" s="9"/>
      <c r="D86" s="9"/>
      <c r="E86" s="9"/>
      <c r="F86" s="9"/>
    </row>
    <row r="87">
      <c r="A87" s="9"/>
      <c r="B87" s="9"/>
      <c r="D87" s="9"/>
      <c r="E87" s="9"/>
      <c r="F87" s="9"/>
    </row>
    <row r="88">
      <c r="A88" s="9"/>
      <c r="B88" s="9"/>
      <c r="D88" s="9"/>
      <c r="E88" s="9"/>
      <c r="F88" s="9"/>
    </row>
    <row r="89">
      <c r="A89" s="9"/>
      <c r="B89" s="9"/>
      <c r="D89" s="9"/>
      <c r="E89" s="9"/>
      <c r="F89" s="9"/>
    </row>
    <row r="90">
      <c r="A90" s="9"/>
      <c r="B90" s="9"/>
      <c r="D90" s="9"/>
      <c r="E90" s="9"/>
      <c r="F90" s="9"/>
    </row>
    <row r="91">
      <c r="A91" s="9"/>
      <c r="B91" s="9"/>
      <c r="D91" s="9"/>
      <c r="E91" s="9"/>
      <c r="F91" s="9"/>
    </row>
    <row r="92">
      <c r="A92" s="9"/>
      <c r="B92" s="9"/>
      <c r="D92" s="9"/>
      <c r="E92" s="9"/>
      <c r="F92" s="9"/>
    </row>
    <row r="93">
      <c r="A93" s="9"/>
      <c r="B93" s="9"/>
      <c r="D93" s="9"/>
      <c r="E93" s="9"/>
      <c r="F93" s="9"/>
    </row>
    <row r="94">
      <c r="A94" s="9"/>
      <c r="B94" s="9"/>
      <c r="D94" s="9"/>
      <c r="E94" s="9"/>
      <c r="F94" s="9"/>
    </row>
    <row r="95">
      <c r="A95" s="9"/>
      <c r="B95" s="9"/>
      <c r="D95" s="9"/>
      <c r="E95" s="9"/>
      <c r="F95" s="9"/>
    </row>
    <row r="96">
      <c r="A96" s="9"/>
      <c r="B96" s="9"/>
      <c r="D96" s="9"/>
      <c r="E96" s="9"/>
      <c r="F96" s="9"/>
    </row>
    <row r="97">
      <c r="A97" s="9"/>
      <c r="B97" s="9"/>
      <c r="D97" s="9"/>
      <c r="E97" s="9"/>
      <c r="F97" s="9"/>
    </row>
    <row r="98">
      <c r="A98" s="9"/>
      <c r="B98" s="9"/>
      <c r="D98" s="9"/>
      <c r="E98" s="9"/>
      <c r="F98" s="9"/>
    </row>
    <row r="99">
      <c r="A99" s="9"/>
      <c r="B99" s="9"/>
      <c r="D99" s="9"/>
      <c r="E99" s="9"/>
      <c r="F99" s="9"/>
    </row>
    <row r="100">
      <c r="A100" s="9"/>
      <c r="B100" s="9"/>
      <c r="D100" s="9"/>
      <c r="E100" s="9"/>
      <c r="F100" s="9"/>
    </row>
    <row r="101">
      <c r="A101" s="9"/>
      <c r="B101" s="9"/>
      <c r="D101" s="9"/>
      <c r="E101" s="9"/>
      <c r="F101" s="9"/>
    </row>
    <row r="102">
      <c r="A102" s="9"/>
      <c r="B102" s="9"/>
      <c r="D102" s="9"/>
      <c r="E102" s="9"/>
      <c r="F102" s="9"/>
    </row>
    <row r="103">
      <c r="A103" s="9"/>
      <c r="B103" s="9"/>
      <c r="D103" s="9"/>
      <c r="E103" s="9"/>
      <c r="F103" s="9"/>
    </row>
    <row r="104">
      <c r="A104" s="9"/>
      <c r="B104" s="9"/>
      <c r="D104" s="9"/>
      <c r="E104" s="9"/>
      <c r="F104" s="9"/>
    </row>
    <row r="105">
      <c r="A105" s="9"/>
      <c r="B105" s="9"/>
      <c r="D105" s="9"/>
      <c r="E105" s="9"/>
      <c r="F105" s="9"/>
    </row>
    <row r="106">
      <c r="A106" s="9"/>
      <c r="B106" s="9"/>
      <c r="D106" s="9"/>
      <c r="E106" s="9"/>
      <c r="F106" s="9"/>
    </row>
    <row r="107">
      <c r="A107" s="9"/>
      <c r="B107" s="9"/>
      <c r="D107" s="9"/>
      <c r="E107" s="9"/>
      <c r="F107" s="9"/>
    </row>
    <row r="108">
      <c r="A108" s="9"/>
      <c r="B108" s="9"/>
      <c r="D108" s="9"/>
      <c r="E108" s="9"/>
      <c r="F108" s="9"/>
    </row>
    <row r="109">
      <c r="A109" s="9"/>
      <c r="B109" s="9"/>
      <c r="D109" s="9"/>
      <c r="E109" s="9"/>
      <c r="F109" s="9"/>
    </row>
    <row r="110">
      <c r="A110" s="9"/>
      <c r="B110" s="9"/>
      <c r="D110" s="9"/>
      <c r="E110" s="9"/>
      <c r="F110" s="9"/>
    </row>
    <row r="111">
      <c r="A111" s="9"/>
      <c r="B111" s="9"/>
      <c r="D111" s="9"/>
      <c r="E111" s="9"/>
      <c r="F111" s="9"/>
    </row>
    <row r="112">
      <c r="A112" s="9"/>
      <c r="B112" s="9"/>
      <c r="D112" s="9"/>
      <c r="E112" s="9"/>
      <c r="F112" s="9"/>
    </row>
    <row r="113">
      <c r="A113" s="9"/>
      <c r="B113" s="9"/>
      <c r="D113" s="9"/>
      <c r="E113" s="9"/>
      <c r="F113" s="9"/>
    </row>
    <row r="114">
      <c r="A114" s="9"/>
      <c r="B114" s="9"/>
      <c r="D114" s="9"/>
      <c r="E114" s="9"/>
      <c r="F114" s="9"/>
    </row>
    <row r="115">
      <c r="A115" s="9"/>
      <c r="B115" s="9"/>
      <c r="D115" s="9"/>
      <c r="E115" s="9"/>
      <c r="F115" s="9"/>
    </row>
    <row r="116">
      <c r="A116" s="9"/>
      <c r="B116" s="9"/>
      <c r="D116" s="9"/>
      <c r="E116" s="9"/>
      <c r="F116" s="9"/>
    </row>
    <row r="117">
      <c r="A117" s="9"/>
      <c r="B117" s="9"/>
      <c r="D117" s="9"/>
      <c r="E117" s="9"/>
      <c r="F117" s="9"/>
    </row>
    <row r="118">
      <c r="A118" s="9"/>
      <c r="B118" s="9"/>
      <c r="D118" s="9"/>
      <c r="E118" s="9"/>
      <c r="F118" s="9"/>
    </row>
    <row r="119">
      <c r="A119" s="9"/>
      <c r="B119" s="9"/>
      <c r="D119" s="9"/>
      <c r="E119" s="9"/>
      <c r="F119" s="9"/>
    </row>
    <row r="120">
      <c r="A120" s="9"/>
      <c r="B120" s="9"/>
      <c r="D120" s="9"/>
      <c r="E120" s="9"/>
      <c r="F120" s="9"/>
    </row>
    <row r="121">
      <c r="A121" s="9"/>
      <c r="B121" s="9"/>
      <c r="D121" s="9"/>
      <c r="E121" s="9"/>
      <c r="F121" s="9"/>
    </row>
    <row r="122">
      <c r="A122" s="9"/>
      <c r="B122" s="9"/>
      <c r="D122" s="9"/>
      <c r="E122" s="9"/>
      <c r="F122" s="9"/>
    </row>
    <row r="123">
      <c r="A123" s="9"/>
      <c r="B123" s="9"/>
      <c r="D123" s="9"/>
      <c r="E123" s="9"/>
      <c r="F123" s="9"/>
    </row>
    <row r="124">
      <c r="A124" s="9"/>
      <c r="B124" s="9"/>
      <c r="D124" s="9"/>
      <c r="E124" s="9"/>
      <c r="F124" s="9"/>
    </row>
    <row r="125">
      <c r="A125" s="9"/>
      <c r="B125" s="9"/>
      <c r="D125" s="9"/>
      <c r="E125" s="9"/>
      <c r="F125" s="9"/>
    </row>
    <row r="126">
      <c r="A126" s="9"/>
      <c r="B126" s="9"/>
      <c r="D126" s="9"/>
      <c r="E126" s="9"/>
      <c r="F126" s="9"/>
    </row>
    <row r="127">
      <c r="A127" s="9"/>
      <c r="B127" s="9"/>
      <c r="D127" s="9"/>
      <c r="E127" s="9"/>
      <c r="F127" s="9"/>
    </row>
    <row r="128">
      <c r="A128" s="9"/>
      <c r="B128" s="9"/>
      <c r="D128" s="9"/>
      <c r="E128" s="9"/>
      <c r="F128" s="9"/>
    </row>
    <row r="129">
      <c r="A129" s="9"/>
      <c r="B129" s="9"/>
      <c r="D129" s="9"/>
      <c r="E129" s="9"/>
      <c r="F129" s="9"/>
    </row>
    <row r="130">
      <c r="A130" s="9"/>
      <c r="B130" s="9"/>
      <c r="D130" s="9"/>
      <c r="E130" s="9"/>
      <c r="F130" s="9"/>
    </row>
    <row r="131">
      <c r="A131" s="9"/>
      <c r="B131" s="9"/>
      <c r="D131" s="9"/>
      <c r="E131" s="9"/>
      <c r="F131" s="9"/>
    </row>
    <row r="132">
      <c r="A132" s="9"/>
      <c r="B132" s="9"/>
      <c r="D132" s="9"/>
      <c r="E132" s="9"/>
      <c r="F132" s="9"/>
    </row>
    <row r="133">
      <c r="A133" s="9"/>
      <c r="B133" s="9"/>
      <c r="D133" s="9"/>
      <c r="E133" s="9"/>
      <c r="F133" s="9"/>
    </row>
    <row r="134">
      <c r="A134" s="9"/>
      <c r="B134" s="9"/>
      <c r="D134" s="9"/>
      <c r="E134" s="9"/>
      <c r="F134" s="9"/>
    </row>
    <row r="135">
      <c r="A135" s="9"/>
      <c r="B135" s="9"/>
      <c r="D135" s="9"/>
      <c r="E135" s="9"/>
      <c r="F135" s="9"/>
    </row>
    <row r="136">
      <c r="A136" s="9"/>
      <c r="B136" s="9"/>
      <c r="D136" s="9"/>
      <c r="E136" s="9"/>
      <c r="F136" s="9"/>
    </row>
    <row r="137">
      <c r="A137" s="9"/>
      <c r="B137" s="9"/>
      <c r="D137" s="9"/>
      <c r="E137" s="9"/>
      <c r="F137" s="9"/>
    </row>
    <row r="138">
      <c r="A138" s="9"/>
      <c r="B138" s="9"/>
      <c r="D138" s="9"/>
      <c r="E138" s="9"/>
      <c r="F138" s="9"/>
    </row>
    <row r="139">
      <c r="A139" s="9"/>
      <c r="B139" s="9"/>
      <c r="D139" s="9"/>
      <c r="E139" s="9"/>
      <c r="F139" s="9"/>
    </row>
    <row r="140">
      <c r="A140" s="9"/>
      <c r="B140" s="9"/>
      <c r="D140" s="9"/>
      <c r="E140" s="9"/>
      <c r="F140" s="9"/>
    </row>
    <row r="141">
      <c r="A141" s="9"/>
      <c r="B141" s="9"/>
      <c r="D141" s="9"/>
      <c r="E141" s="9"/>
      <c r="F141" s="9"/>
    </row>
    <row r="142">
      <c r="A142" s="9"/>
      <c r="B142" s="9"/>
      <c r="D142" s="9"/>
      <c r="E142" s="9"/>
      <c r="F142" s="9"/>
    </row>
    <row r="143">
      <c r="A143" s="9"/>
      <c r="B143" s="9"/>
      <c r="D143" s="9"/>
      <c r="E143" s="9"/>
      <c r="F143" s="9"/>
    </row>
    <row r="144">
      <c r="A144" s="9"/>
      <c r="B144" s="9"/>
      <c r="D144" s="9"/>
      <c r="E144" s="9"/>
      <c r="F144" s="9"/>
    </row>
    <row r="145">
      <c r="A145" s="9"/>
      <c r="B145" s="9"/>
      <c r="D145" s="9"/>
      <c r="E145" s="9"/>
      <c r="F145" s="9"/>
    </row>
    <row r="146">
      <c r="A146" s="9"/>
      <c r="B146" s="9"/>
      <c r="D146" s="9"/>
      <c r="E146" s="9"/>
      <c r="F146" s="9"/>
    </row>
    <row r="147">
      <c r="A147" s="9"/>
      <c r="B147" s="9"/>
      <c r="D147" s="9"/>
      <c r="E147" s="9"/>
      <c r="F147" s="9"/>
    </row>
    <row r="148">
      <c r="A148" s="9"/>
      <c r="B148" s="9"/>
      <c r="D148" s="9"/>
      <c r="E148" s="9"/>
      <c r="F148" s="9"/>
    </row>
    <row r="149">
      <c r="A149" s="9"/>
      <c r="B149" s="9"/>
      <c r="D149" s="9"/>
      <c r="E149" s="9"/>
      <c r="F149" s="9"/>
    </row>
    <row r="150">
      <c r="A150" s="9"/>
      <c r="B150" s="9"/>
      <c r="D150" s="9"/>
      <c r="E150" s="9"/>
      <c r="F150" s="9"/>
    </row>
    <row r="151">
      <c r="A151" s="9"/>
      <c r="B151" s="9"/>
      <c r="D151" s="9"/>
      <c r="E151" s="9"/>
      <c r="F151" s="9"/>
    </row>
    <row r="152">
      <c r="A152" s="9"/>
      <c r="B152" s="9"/>
      <c r="D152" s="9"/>
      <c r="E152" s="9"/>
      <c r="F152" s="9"/>
    </row>
    <row r="153">
      <c r="A153" s="9"/>
      <c r="B153" s="9"/>
      <c r="D153" s="9"/>
      <c r="E153" s="9"/>
      <c r="F153" s="9"/>
    </row>
    <row r="154">
      <c r="A154" s="9"/>
      <c r="B154" s="9"/>
      <c r="D154" s="9"/>
      <c r="E154" s="9"/>
      <c r="F154" s="9"/>
    </row>
    <row r="155">
      <c r="A155" s="9"/>
      <c r="B155" s="9"/>
      <c r="D155" s="9"/>
      <c r="E155" s="9"/>
      <c r="F155" s="9"/>
    </row>
    <row r="156">
      <c r="A156" s="9"/>
      <c r="B156" s="9"/>
      <c r="D156" s="9"/>
      <c r="E156" s="9"/>
      <c r="F156" s="9"/>
    </row>
    <row r="157">
      <c r="A157" s="9"/>
      <c r="B157" s="9"/>
      <c r="D157" s="9"/>
      <c r="E157" s="9"/>
      <c r="F157" s="9"/>
    </row>
    <row r="158">
      <c r="A158" s="9"/>
      <c r="B158" s="9"/>
      <c r="D158" s="9"/>
      <c r="E158" s="9"/>
      <c r="F158" s="9"/>
    </row>
    <row r="159">
      <c r="A159" s="9"/>
      <c r="B159" s="9"/>
      <c r="D159" s="9"/>
      <c r="E159" s="9"/>
      <c r="F159" s="9"/>
    </row>
    <row r="160">
      <c r="A160" s="9"/>
      <c r="B160" s="9"/>
      <c r="D160" s="9"/>
      <c r="E160" s="9"/>
      <c r="F160" s="9"/>
    </row>
    <row r="161">
      <c r="A161" s="9"/>
      <c r="B161" s="9"/>
      <c r="D161" s="9"/>
      <c r="E161" s="9"/>
      <c r="F161" s="9"/>
    </row>
    <row r="162">
      <c r="A162" s="9"/>
      <c r="B162" s="9"/>
      <c r="D162" s="9"/>
      <c r="E162" s="9"/>
      <c r="F162" s="9"/>
    </row>
    <row r="163">
      <c r="A163" s="9"/>
      <c r="B163" s="9"/>
      <c r="D163" s="9"/>
      <c r="E163" s="9"/>
      <c r="F163" s="9"/>
    </row>
    <row r="164">
      <c r="A164" s="9"/>
      <c r="B164" s="9"/>
      <c r="D164" s="9"/>
      <c r="E164" s="9"/>
      <c r="F164" s="9"/>
    </row>
    <row r="165">
      <c r="A165" s="9"/>
      <c r="B165" s="9"/>
      <c r="D165" s="9"/>
      <c r="E165" s="9"/>
      <c r="F165" s="9"/>
    </row>
    <row r="166">
      <c r="A166" s="9"/>
      <c r="B166" s="9"/>
      <c r="D166" s="9"/>
      <c r="E166" s="9"/>
      <c r="F166" s="9"/>
    </row>
    <row r="167">
      <c r="A167" s="9"/>
      <c r="B167" s="9"/>
      <c r="D167" s="9"/>
      <c r="E167" s="9"/>
      <c r="F167" s="9"/>
    </row>
    <row r="168">
      <c r="A168" s="9"/>
      <c r="B168" s="9"/>
      <c r="D168" s="9"/>
      <c r="E168" s="9"/>
      <c r="F168" s="9"/>
    </row>
    <row r="169">
      <c r="A169" s="9"/>
      <c r="B169" s="9"/>
      <c r="D169" s="9"/>
      <c r="E169" s="55"/>
      <c r="F169" s="9"/>
    </row>
    <row r="170">
      <c r="A170" s="55"/>
      <c r="B170" s="9"/>
      <c r="D170" s="9"/>
      <c r="E170" s="9"/>
      <c r="F170" s="9"/>
    </row>
    <row r="171">
      <c r="A171" s="9"/>
      <c r="B171" s="9"/>
      <c r="D171" s="9"/>
      <c r="E171" s="9"/>
      <c r="F171" s="9"/>
    </row>
    <row r="172">
      <c r="A172" s="9"/>
      <c r="B172" s="9"/>
      <c r="D172" s="9"/>
      <c r="E172" s="9"/>
      <c r="F172" s="9"/>
    </row>
    <row r="173">
      <c r="A173" s="9"/>
      <c r="B173" s="9"/>
      <c r="D173" s="9"/>
      <c r="E173" s="9"/>
      <c r="F173" s="9"/>
    </row>
    <row r="174">
      <c r="A174" s="9"/>
      <c r="B174" s="9"/>
      <c r="D174" s="9"/>
      <c r="E174" s="9"/>
      <c r="F174" s="9"/>
    </row>
    <row r="175">
      <c r="A175" s="9"/>
      <c r="B175" s="9"/>
      <c r="D175" s="9"/>
      <c r="E175" s="9"/>
      <c r="F175" s="9"/>
    </row>
    <row r="176">
      <c r="A176" s="9"/>
      <c r="B176" s="9"/>
      <c r="D176" s="9"/>
      <c r="E176" s="9"/>
      <c r="F176" s="9"/>
    </row>
    <row r="177">
      <c r="A177" s="9"/>
      <c r="B177" s="9"/>
      <c r="D177" s="9"/>
      <c r="E177" s="9"/>
      <c r="F177" s="9"/>
    </row>
    <row r="178">
      <c r="A178" s="9"/>
      <c r="B178" s="9"/>
      <c r="D178" s="9"/>
      <c r="E178" s="9"/>
      <c r="F178" s="9"/>
    </row>
    <row r="179">
      <c r="A179" s="9"/>
      <c r="B179" s="9"/>
      <c r="D179" s="9"/>
      <c r="E179" s="9"/>
      <c r="F179" s="9"/>
    </row>
    <row r="180">
      <c r="A180" s="9"/>
      <c r="B180" s="9"/>
      <c r="D180" s="9"/>
      <c r="E180" s="9"/>
      <c r="F180" s="9"/>
    </row>
    <row r="181">
      <c r="A181" s="9"/>
      <c r="B181" s="9"/>
      <c r="D181" s="9"/>
      <c r="E181" s="9"/>
      <c r="F181" s="9"/>
    </row>
    <row r="182">
      <c r="A182" s="9"/>
      <c r="B182" s="9"/>
      <c r="D182" s="9"/>
      <c r="E182" s="9"/>
      <c r="F182" s="9"/>
    </row>
    <row r="183">
      <c r="A183" s="9"/>
      <c r="B183" s="9"/>
      <c r="D183" s="9"/>
      <c r="E183" s="9"/>
      <c r="F183" s="9"/>
    </row>
    <row r="184">
      <c r="A184" s="9"/>
      <c r="B184" s="9"/>
      <c r="D184" s="9"/>
      <c r="E184" s="9"/>
      <c r="F184" s="9"/>
    </row>
    <row r="185">
      <c r="A185" s="9"/>
      <c r="B185" s="9"/>
      <c r="D185" s="9"/>
      <c r="E185" s="9"/>
      <c r="F185" s="9"/>
    </row>
    <row r="186">
      <c r="A186" s="9"/>
      <c r="B186" s="9"/>
      <c r="D186" s="9"/>
      <c r="E186" s="9"/>
      <c r="F186" s="9"/>
    </row>
    <row r="187">
      <c r="A187" s="9"/>
      <c r="B187" s="9"/>
      <c r="D187" s="9"/>
      <c r="E187" s="9"/>
      <c r="F187" s="9"/>
    </row>
    <row r="188">
      <c r="A188" s="9"/>
      <c r="B188" s="9"/>
      <c r="D188" s="9"/>
      <c r="E188" s="55"/>
      <c r="F188" s="9"/>
    </row>
    <row r="189">
      <c r="A189" s="55"/>
      <c r="B189" s="9"/>
      <c r="D189" s="9"/>
      <c r="E189" s="9"/>
      <c r="F189" s="9"/>
    </row>
    <row r="190">
      <c r="A190" s="9"/>
      <c r="B190" s="9"/>
      <c r="D190" s="9"/>
      <c r="E190" s="9"/>
      <c r="F190" s="9"/>
    </row>
    <row r="191">
      <c r="A191" s="9"/>
      <c r="B191" s="9"/>
      <c r="D191" s="9"/>
      <c r="E191" s="9"/>
      <c r="F191" s="9"/>
    </row>
    <row r="192">
      <c r="A192" s="9"/>
      <c r="B192" s="9"/>
      <c r="D192" s="9"/>
      <c r="E192" s="9"/>
      <c r="F192" s="9"/>
    </row>
    <row r="193">
      <c r="A193" s="9"/>
      <c r="B193" s="9"/>
      <c r="D193" s="9"/>
      <c r="E193" s="9"/>
      <c r="F193" s="9"/>
    </row>
    <row r="194">
      <c r="A194" s="9"/>
      <c r="B194" s="9"/>
      <c r="D194" s="9"/>
      <c r="E194" s="9"/>
      <c r="F194" s="9"/>
    </row>
    <row r="195">
      <c r="A195" s="9"/>
      <c r="B195" s="9"/>
      <c r="D195" s="9"/>
      <c r="E195" s="9"/>
      <c r="F195" s="9"/>
    </row>
    <row r="196">
      <c r="A196" s="9"/>
      <c r="B196" s="9"/>
      <c r="D196" s="9"/>
      <c r="E196" s="9"/>
      <c r="F196" s="9"/>
    </row>
    <row r="197">
      <c r="A197" s="9"/>
      <c r="B197" s="9"/>
      <c r="D197" s="9"/>
      <c r="E197" s="9"/>
      <c r="F197" s="9"/>
    </row>
    <row r="198">
      <c r="A198" s="9"/>
      <c r="B198" s="9"/>
      <c r="D198" s="9"/>
      <c r="E198" s="9"/>
      <c r="F198" s="9"/>
    </row>
    <row r="199">
      <c r="A199" s="9"/>
      <c r="B199" s="9"/>
      <c r="D199" s="9"/>
      <c r="E199" s="9"/>
      <c r="F199" s="9"/>
    </row>
    <row r="200">
      <c r="A200" s="9"/>
      <c r="B200" s="9"/>
      <c r="D200" s="9"/>
      <c r="E200" s="9"/>
      <c r="F200" s="9"/>
    </row>
    <row r="201">
      <c r="A201" s="9"/>
      <c r="B201" s="9"/>
      <c r="D201" s="9"/>
      <c r="E201" s="9"/>
      <c r="F201" s="9"/>
    </row>
    <row r="202">
      <c r="A202" s="9"/>
      <c r="B202" s="9"/>
      <c r="D202" s="9"/>
      <c r="E202" s="9"/>
      <c r="F202" s="9"/>
    </row>
    <row r="203">
      <c r="A203" s="9"/>
      <c r="B203" s="9"/>
      <c r="D203" s="9"/>
      <c r="E203" s="9"/>
      <c r="F203" s="9"/>
    </row>
    <row r="204">
      <c r="A204" s="9"/>
      <c r="B204" s="9"/>
      <c r="D204" s="9"/>
      <c r="E204" s="9"/>
      <c r="F204" s="9"/>
    </row>
    <row r="205">
      <c r="A205" s="9"/>
      <c r="B205" s="9"/>
      <c r="D205" s="9"/>
      <c r="E205" s="9"/>
      <c r="F205" s="9"/>
    </row>
    <row r="206">
      <c r="A206" s="9"/>
      <c r="B206" s="9"/>
      <c r="D206" s="9"/>
      <c r="E206" s="9"/>
      <c r="F206" s="9"/>
    </row>
    <row r="207">
      <c r="A207" s="9"/>
      <c r="B207" s="9"/>
      <c r="D207" s="9"/>
      <c r="E207" s="9"/>
      <c r="F207" s="9"/>
    </row>
    <row r="208">
      <c r="A208" s="9"/>
      <c r="B208" s="9"/>
      <c r="D208" s="9"/>
      <c r="E208" s="9"/>
      <c r="F208" s="9"/>
    </row>
    <row r="209">
      <c r="A209" s="9"/>
      <c r="B209" s="9"/>
      <c r="D209" s="9"/>
      <c r="E209" s="9"/>
      <c r="F209" s="9"/>
    </row>
    <row r="210">
      <c r="A210" s="9"/>
      <c r="B210" s="9"/>
      <c r="D210" s="9"/>
      <c r="E210" s="9"/>
      <c r="F210" s="9"/>
    </row>
    <row r="211">
      <c r="A211" s="9"/>
      <c r="B211" s="9"/>
      <c r="D211" s="9"/>
      <c r="E211" s="9"/>
      <c r="F211" s="9"/>
    </row>
    <row r="212">
      <c r="A212" s="9"/>
      <c r="B212" s="9"/>
      <c r="D212" s="9"/>
      <c r="E212" s="9"/>
      <c r="F212" s="9"/>
    </row>
    <row r="213">
      <c r="A213" s="9"/>
      <c r="B213" s="9"/>
      <c r="D213" s="9"/>
      <c r="E213" s="9"/>
      <c r="F213" s="9"/>
    </row>
    <row r="214">
      <c r="A214" s="9"/>
      <c r="B214" s="9"/>
      <c r="D214" s="9"/>
      <c r="E214" s="9"/>
      <c r="F214" s="9"/>
    </row>
    <row r="215">
      <c r="A215" s="9"/>
      <c r="B215" s="9"/>
      <c r="D215" s="9"/>
      <c r="E215" s="9"/>
      <c r="F215" s="55"/>
    </row>
    <row r="216">
      <c r="A216" s="9"/>
      <c r="B216" s="9"/>
      <c r="D216" s="9"/>
      <c r="E216" s="9"/>
      <c r="F216" s="9"/>
    </row>
    <row r="217">
      <c r="A217" s="9"/>
      <c r="B217" s="9"/>
      <c r="D217" s="9"/>
      <c r="E217" s="9"/>
      <c r="F217" s="9"/>
    </row>
    <row r="218">
      <c r="A218" s="9"/>
      <c r="B218" s="9"/>
      <c r="D218" s="9"/>
      <c r="E218" s="9"/>
      <c r="F218" s="9"/>
    </row>
    <row r="219">
      <c r="A219" s="9"/>
      <c r="B219" s="9"/>
      <c r="D219" s="9"/>
      <c r="E219" s="9"/>
      <c r="F219" s="9"/>
    </row>
    <row r="220">
      <c r="A220" s="9"/>
      <c r="B220" s="9"/>
      <c r="D220" s="9"/>
      <c r="E220" s="9"/>
      <c r="F220" s="9"/>
    </row>
    <row r="221">
      <c r="A221" s="9"/>
      <c r="B221" s="9"/>
      <c r="D221" s="9"/>
      <c r="E221" s="9"/>
      <c r="F221" s="9"/>
    </row>
    <row r="222">
      <c r="A222" s="9"/>
      <c r="B222" s="9"/>
      <c r="D222" s="9"/>
      <c r="E222" s="9"/>
      <c r="F222" s="9"/>
    </row>
    <row r="223">
      <c r="A223" s="9"/>
      <c r="B223" s="9"/>
      <c r="D223" s="9"/>
      <c r="E223" s="9"/>
      <c r="F223" s="9"/>
    </row>
    <row r="224">
      <c r="A224" s="9"/>
      <c r="B224" s="9"/>
      <c r="D224" s="9"/>
      <c r="E224" s="9"/>
      <c r="F224" s="9"/>
    </row>
    <row r="225">
      <c r="A225" s="9"/>
      <c r="B225" s="9"/>
      <c r="D225" s="9"/>
      <c r="E225" s="9"/>
      <c r="F225" s="9"/>
    </row>
    <row r="226">
      <c r="A226" s="9"/>
      <c r="B226" s="9"/>
      <c r="D226" s="9"/>
      <c r="E226" s="9"/>
      <c r="F226" s="9"/>
    </row>
    <row r="227">
      <c r="A227" s="9"/>
      <c r="B227" s="9"/>
      <c r="D227" s="9"/>
      <c r="E227" s="9"/>
      <c r="F227" s="9"/>
    </row>
    <row r="228">
      <c r="A228" s="9"/>
      <c r="B228" s="9"/>
      <c r="D228" s="9"/>
      <c r="E228" s="9"/>
      <c r="F228" s="9"/>
    </row>
    <row r="229">
      <c r="A229" s="9"/>
      <c r="B229" s="9"/>
      <c r="D229" s="9"/>
      <c r="E229" s="9"/>
      <c r="F229" s="9"/>
    </row>
    <row r="230">
      <c r="A230" s="9"/>
      <c r="B230" s="9"/>
      <c r="D230" s="9"/>
      <c r="E230" s="9"/>
      <c r="F230" s="9"/>
    </row>
    <row r="231">
      <c r="A231" s="9"/>
      <c r="B231" s="9"/>
      <c r="D231" s="9"/>
      <c r="E231" s="9"/>
      <c r="F231" s="9"/>
    </row>
    <row r="232">
      <c r="A232" s="9"/>
      <c r="B232" s="9"/>
      <c r="D232" s="9"/>
      <c r="E232" s="9"/>
      <c r="F232" s="9"/>
    </row>
    <row r="233">
      <c r="A233" s="9"/>
      <c r="B233" s="9"/>
      <c r="D233" s="9"/>
      <c r="E233" s="9"/>
      <c r="F233" s="9"/>
    </row>
    <row r="234">
      <c r="A234" s="9"/>
      <c r="B234" s="9"/>
      <c r="D234" s="9"/>
      <c r="E234" s="9"/>
      <c r="F234" s="9"/>
    </row>
    <row r="235">
      <c r="A235" s="9"/>
      <c r="B235" s="9"/>
      <c r="D235" s="9"/>
      <c r="E235" s="9"/>
      <c r="F235" s="9"/>
    </row>
    <row r="236">
      <c r="A236" s="9"/>
      <c r="B236" s="9"/>
      <c r="D236" s="9"/>
      <c r="E236" s="9"/>
      <c r="F236" s="9"/>
    </row>
    <row r="237">
      <c r="A237" s="9"/>
      <c r="B237" s="9"/>
      <c r="D237" s="9"/>
      <c r="E237" s="9"/>
      <c r="F237" s="9"/>
    </row>
    <row r="238">
      <c r="A238" s="9"/>
      <c r="B238" s="9"/>
      <c r="D238" s="9"/>
      <c r="E238" s="9"/>
      <c r="F238" s="9"/>
    </row>
    <row r="239">
      <c r="A239" s="9"/>
      <c r="B239" s="9"/>
      <c r="D239" s="9"/>
      <c r="E239" s="9"/>
      <c r="F239" s="9"/>
    </row>
    <row r="240">
      <c r="A240" s="9"/>
      <c r="B240" s="9"/>
      <c r="D240" s="9"/>
      <c r="E240" s="9"/>
      <c r="F240" s="9"/>
    </row>
    <row r="241">
      <c r="A241" s="9"/>
      <c r="B241" s="9"/>
      <c r="D241" s="9"/>
      <c r="E241" s="9"/>
      <c r="F241" s="9"/>
    </row>
    <row r="242">
      <c r="A242" s="9"/>
      <c r="B242" s="9"/>
      <c r="D242" s="9"/>
      <c r="E242" s="9"/>
      <c r="F242" s="9"/>
    </row>
    <row r="243">
      <c r="A243" s="9"/>
      <c r="B243" s="9"/>
      <c r="D243" s="9"/>
      <c r="E243" s="9"/>
      <c r="F243" s="9"/>
    </row>
    <row r="244">
      <c r="A244" s="9"/>
      <c r="B244" s="9"/>
      <c r="D244" s="9"/>
      <c r="E244" s="55"/>
      <c r="F244" s="9"/>
    </row>
    <row r="245">
      <c r="A245" s="55"/>
      <c r="B245" s="9"/>
      <c r="D245" s="9"/>
      <c r="E245" s="9"/>
      <c r="F245" s="9"/>
    </row>
    <row r="246">
      <c r="A246" s="9"/>
      <c r="B246" s="9"/>
      <c r="D246" s="9"/>
      <c r="E246" s="9"/>
      <c r="F246" s="9"/>
    </row>
    <row r="247">
      <c r="A247" s="9"/>
      <c r="B247" s="9"/>
      <c r="D247" s="9"/>
      <c r="E247" s="9"/>
      <c r="F247" s="9"/>
    </row>
    <row r="248">
      <c r="A248" s="9"/>
      <c r="B248" s="9"/>
      <c r="D248" s="9"/>
      <c r="E248" s="9"/>
      <c r="F248" s="9"/>
    </row>
    <row r="249">
      <c r="A249" s="9"/>
      <c r="B249" s="9"/>
      <c r="D249" s="9"/>
      <c r="E249" s="9"/>
      <c r="F249" s="9"/>
    </row>
    <row r="250">
      <c r="A250" s="9"/>
      <c r="B250" s="9"/>
      <c r="D250" s="9"/>
      <c r="E250" s="9"/>
      <c r="F250" s="9"/>
    </row>
    <row r="251">
      <c r="A251" s="9"/>
      <c r="B251" s="9"/>
      <c r="D251" s="9"/>
      <c r="E251" s="9"/>
      <c r="F251" s="9"/>
    </row>
    <row r="252">
      <c r="A252" s="9"/>
      <c r="B252" s="9"/>
      <c r="D252" s="9"/>
      <c r="E252" s="9"/>
      <c r="F252" s="9"/>
    </row>
    <row r="253">
      <c r="A253" s="9"/>
      <c r="B253" s="9"/>
      <c r="D253" s="9"/>
      <c r="E253" s="9"/>
      <c r="F253" s="9"/>
    </row>
    <row r="254">
      <c r="A254" s="9"/>
      <c r="B254" s="9"/>
      <c r="D254" s="9"/>
      <c r="E254" s="9"/>
      <c r="F254" s="9"/>
    </row>
    <row r="255">
      <c r="A255" s="9"/>
      <c r="B255" s="9"/>
      <c r="D255" s="9"/>
      <c r="E255" s="9"/>
      <c r="F255" s="9"/>
    </row>
    <row r="256">
      <c r="A256" s="9"/>
      <c r="B256" s="9"/>
      <c r="D256" s="9"/>
      <c r="E256" s="9"/>
      <c r="F256" s="9"/>
    </row>
    <row r="257">
      <c r="A257" s="9"/>
      <c r="B257" s="9"/>
      <c r="D257" s="9"/>
      <c r="E257" s="9"/>
      <c r="F257" s="9"/>
    </row>
    <row r="258">
      <c r="A258" s="9"/>
      <c r="B258" s="9"/>
      <c r="D258" s="9"/>
      <c r="E258" s="9"/>
      <c r="F258" s="9"/>
    </row>
    <row r="259">
      <c r="A259" s="9"/>
      <c r="B259" s="9"/>
      <c r="D259" s="9"/>
      <c r="E259" s="9"/>
      <c r="F259" s="9"/>
    </row>
    <row r="260">
      <c r="A260" s="9"/>
      <c r="B260" s="9"/>
      <c r="D260" s="9"/>
      <c r="E260" s="9"/>
      <c r="F260" s="9"/>
    </row>
    <row r="261">
      <c r="A261" s="9"/>
      <c r="B261" s="9"/>
      <c r="D261" s="9"/>
      <c r="E261" s="9"/>
      <c r="F261" s="9"/>
    </row>
    <row r="262">
      <c r="A262" s="9"/>
      <c r="B262" s="9"/>
      <c r="D262" s="9"/>
      <c r="E262" s="9"/>
      <c r="F262" s="9"/>
    </row>
    <row r="263">
      <c r="A263" s="9"/>
      <c r="B263" s="9"/>
      <c r="D263" s="9"/>
      <c r="E263" s="9"/>
      <c r="F263" s="9"/>
    </row>
    <row r="264">
      <c r="A264" s="9"/>
      <c r="B264" s="9"/>
      <c r="D264" s="9"/>
      <c r="E264" s="9"/>
      <c r="F264" s="9"/>
    </row>
    <row r="265">
      <c r="A265" s="9"/>
      <c r="B265" s="9"/>
      <c r="D265" s="9"/>
      <c r="E265" s="9"/>
      <c r="F265" s="9"/>
    </row>
    <row r="266">
      <c r="A266" s="9"/>
      <c r="B266" s="9"/>
      <c r="D266" s="9"/>
      <c r="E266" s="9"/>
      <c r="F266" s="9"/>
    </row>
    <row r="267">
      <c r="A267" s="9"/>
      <c r="B267" s="9"/>
      <c r="D267" s="9"/>
      <c r="E267" s="9"/>
      <c r="F267" s="9"/>
    </row>
    <row r="268">
      <c r="A268" s="9"/>
      <c r="B268" s="9"/>
      <c r="D268" s="9"/>
      <c r="E268" s="9"/>
      <c r="F268" s="9"/>
    </row>
    <row r="269">
      <c r="A269" s="9"/>
      <c r="B269" s="9"/>
      <c r="D269" s="9"/>
      <c r="E269" s="9"/>
      <c r="F269" s="9"/>
    </row>
    <row r="270">
      <c r="A270" s="9"/>
      <c r="B270" s="9"/>
      <c r="D270" s="9"/>
      <c r="E270" s="9"/>
      <c r="F270" s="9"/>
    </row>
    <row r="271">
      <c r="A271" s="9"/>
      <c r="B271" s="9"/>
      <c r="D271" s="9"/>
      <c r="E271" s="9"/>
      <c r="F271" s="9"/>
    </row>
    <row r="272">
      <c r="A272" s="9"/>
      <c r="B272" s="9"/>
      <c r="D272" s="9"/>
      <c r="E272" s="9"/>
      <c r="F272" s="9"/>
    </row>
    <row r="273">
      <c r="A273" s="9"/>
      <c r="B273" s="9"/>
      <c r="D273" s="9"/>
      <c r="E273" s="9"/>
      <c r="F273" s="9"/>
    </row>
    <row r="274">
      <c r="A274" s="9"/>
      <c r="B274" s="9"/>
      <c r="D274" s="9"/>
      <c r="E274" s="9"/>
      <c r="F274" s="9"/>
    </row>
    <row r="275">
      <c r="A275" s="9"/>
      <c r="B275" s="9"/>
      <c r="D275" s="9"/>
      <c r="E275" s="9"/>
      <c r="F275" s="9"/>
    </row>
    <row r="276">
      <c r="A276" s="9"/>
      <c r="B276" s="9"/>
      <c r="D276" s="9"/>
      <c r="E276" s="9"/>
      <c r="F276" s="9"/>
    </row>
    <row r="277">
      <c r="A277" s="9"/>
      <c r="B277" s="9"/>
      <c r="D277" s="9"/>
      <c r="E277" s="9"/>
      <c r="F277" s="9"/>
    </row>
    <row r="278">
      <c r="A278" s="9"/>
      <c r="B278" s="9"/>
      <c r="D278" s="9"/>
      <c r="E278" s="9"/>
      <c r="F278" s="9"/>
    </row>
    <row r="279">
      <c r="A279" s="9"/>
      <c r="B279" s="9"/>
      <c r="D279" s="9"/>
      <c r="E279" s="9"/>
      <c r="F279" s="9"/>
    </row>
    <row r="280">
      <c r="A280" s="9"/>
      <c r="B280" s="9"/>
      <c r="D280" s="9"/>
      <c r="E280" s="9"/>
      <c r="F280" s="9"/>
    </row>
    <row r="281">
      <c r="A281" s="9"/>
      <c r="B281" s="9"/>
      <c r="D281" s="9"/>
      <c r="E281" s="9"/>
      <c r="F281" s="9"/>
    </row>
    <row r="282">
      <c r="A282" s="9"/>
      <c r="B282" s="9"/>
      <c r="D282" s="9"/>
      <c r="E282" s="9"/>
      <c r="F282" s="9"/>
    </row>
    <row r="283">
      <c r="A283" s="9"/>
      <c r="B283" s="9"/>
      <c r="D283" s="9"/>
      <c r="E283" s="9"/>
      <c r="F283" s="9"/>
    </row>
    <row r="284">
      <c r="A284" s="9"/>
      <c r="B284" s="9"/>
      <c r="D284" s="9"/>
      <c r="E284" s="9"/>
      <c r="F284" s="9"/>
    </row>
    <row r="285">
      <c r="A285" s="9"/>
      <c r="B285" s="9"/>
      <c r="D285" s="9"/>
      <c r="E285" s="9"/>
      <c r="F285" s="9"/>
    </row>
    <row r="286">
      <c r="A286" s="9"/>
      <c r="B286" s="9"/>
      <c r="D286" s="9"/>
      <c r="E286" s="9"/>
      <c r="F286" s="9"/>
    </row>
    <row r="287">
      <c r="A287" s="9"/>
      <c r="B287" s="9"/>
      <c r="D287" s="9"/>
      <c r="E287" s="9"/>
      <c r="F287" s="9"/>
    </row>
    <row r="288">
      <c r="A288" s="9"/>
      <c r="B288" s="9"/>
      <c r="D288" s="9"/>
      <c r="E288" s="9"/>
      <c r="F288" s="9"/>
    </row>
    <row r="289">
      <c r="A289" s="9"/>
      <c r="B289" s="9"/>
      <c r="D289" s="9"/>
      <c r="E289" s="9"/>
      <c r="F289" s="9"/>
    </row>
    <row r="290">
      <c r="A290" s="9"/>
      <c r="B290" s="9"/>
      <c r="D290" s="9"/>
      <c r="E290" s="9"/>
      <c r="F290" s="9"/>
    </row>
    <row r="291">
      <c r="A291" s="9"/>
      <c r="B291" s="9"/>
      <c r="D291" s="9"/>
      <c r="E291" s="9"/>
      <c r="F291" s="9"/>
    </row>
    <row r="292">
      <c r="A292" s="9"/>
      <c r="B292" s="9"/>
      <c r="D292" s="9"/>
      <c r="E292" s="9"/>
      <c r="F292" s="9"/>
    </row>
    <row r="293">
      <c r="A293" s="9"/>
      <c r="B293" s="9"/>
      <c r="D293" s="9"/>
      <c r="E293" s="9"/>
      <c r="F293" s="9"/>
    </row>
    <row r="294">
      <c r="A294" s="9"/>
      <c r="B294" s="9"/>
      <c r="D294" s="9"/>
      <c r="E294" s="9"/>
      <c r="F294" s="9"/>
    </row>
    <row r="295">
      <c r="A295" s="9"/>
      <c r="B295" s="9"/>
      <c r="D295" s="9"/>
      <c r="E295" s="9"/>
      <c r="F295" s="9"/>
    </row>
    <row r="296">
      <c r="A296" s="9"/>
      <c r="B296" s="9"/>
      <c r="D296" s="9"/>
      <c r="E296" s="9"/>
      <c r="F296" s="9"/>
    </row>
    <row r="297">
      <c r="A297" s="9"/>
      <c r="B297" s="9"/>
      <c r="D297" s="9"/>
      <c r="E297" s="9"/>
      <c r="F297" s="9"/>
    </row>
    <row r="298">
      <c r="A298" s="9"/>
      <c r="B298" s="9"/>
      <c r="D298" s="9"/>
      <c r="E298" s="9"/>
      <c r="F298" s="9"/>
    </row>
    <row r="299">
      <c r="A299" s="9"/>
      <c r="B299" s="9"/>
      <c r="D299" s="9"/>
      <c r="E299" s="9"/>
      <c r="F299" s="9"/>
    </row>
    <row r="300">
      <c r="A300" s="9"/>
      <c r="B300" s="9"/>
      <c r="D300" s="9"/>
      <c r="E300" s="55"/>
      <c r="F300" s="9"/>
    </row>
    <row r="301">
      <c r="A301" s="55"/>
      <c r="B301" s="9"/>
      <c r="D301" s="9"/>
      <c r="E301" s="9"/>
      <c r="F301" s="9"/>
    </row>
    <row r="302">
      <c r="A302" s="9"/>
      <c r="B302" s="9"/>
      <c r="D302" s="9"/>
      <c r="E302" s="9"/>
      <c r="F302" s="9"/>
    </row>
    <row r="303">
      <c r="A303" s="9"/>
      <c r="B303" s="9"/>
      <c r="D303" s="9"/>
      <c r="E303" s="9"/>
      <c r="F303" s="9"/>
    </row>
    <row r="304">
      <c r="A304" s="9"/>
      <c r="B304" s="9"/>
      <c r="D304" s="9"/>
      <c r="E304" s="9"/>
      <c r="F304" s="9"/>
    </row>
    <row r="305">
      <c r="A305" s="9"/>
      <c r="B305" s="9"/>
      <c r="D305" s="9"/>
      <c r="E305" s="9"/>
      <c r="F305" s="9"/>
    </row>
    <row r="306">
      <c r="A306" s="9"/>
      <c r="B306" s="9"/>
      <c r="D306" s="9"/>
      <c r="E306" s="9"/>
      <c r="F306" s="9"/>
    </row>
    <row r="307">
      <c r="A307" s="9"/>
      <c r="B307" s="9"/>
      <c r="D307" s="9"/>
      <c r="E307" s="9"/>
      <c r="F307" s="9"/>
    </row>
    <row r="308">
      <c r="A308" s="9"/>
      <c r="B308" s="9"/>
      <c r="D308" s="9"/>
      <c r="E308" s="9"/>
      <c r="F308" s="55"/>
    </row>
    <row r="309">
      <c r="A309" s="9"/>
      <c r="B309" s="9"/>
      <c r="D309" s="9"/>
      <c r="E309" s="9"/>
      <c r="F309" s="9"/>
    </row>
    <row r="310">
      <c r="A310" s="9"/>
      <c r="B310" s="9"/>
      <c r="D310" s="9"/>
      <c r="E310" s="9"/>
      <c r="F310" s="9"/>
    </row>
    <row r="311">
      <c r="A311" s="9"/>
      <c r="B311" s="9"/>
      <c r="D311" s="9"/>
      <c r="E311" s="9"/>
      <c r="F311" s="9"/>
    </row>
    <row r="312">
      <c r="A312" s="9"/>
      <c r="B312" s="9"/>
      <c r="D312" s="9"/>
      <c r="E312" s="9"/>
      <c r="F312" s="9"/>
    </row>
    <row r="313">
      <c r="A313" s="9"/>
      <c r="B313" s="9"/>
      <c r="D313" s="9"/>
      <c r="E313" s="9"/>
      <c r="F313" s="9"/>
    </row>
    <row r="314">
      <c r="A314" s="9"/>
      <c r="B314" s="9"/>
      <c r="D314" s="9"/>
      <c r="E314" s="9"/>
      <c r="F314" s="9"/>
    </row>
    <row r="315">
      <c r="A315" s="9"/>
      <c r="B315" s="9"/>
      <c r="D315" s="9"/>
      <c r="E315" s="9"/>
      <c r="F315" s="9"/>
    </row>
    <row r="316">
      <c r="A316" s="9"/>
      <c r="B316" s="9"/>
      <c r="D316" s="9"/>
      <c r="E316" s="9"/>
      <c r="F316" s="9"/>
    </row>
    <row r="317">
      <c r="A317" s="9"/>
      <c r="B317" s="9"/>
      <c r="D317" s="9"/>
      <c r="E317" s="9"/>
      <c r="F317" s="9"/>
    </row>
    <row r="318">
      <c r="A318" s="9"/>
      <c r="B318" s="9"/>
      <c r="D318" s="9"/>
      <c r="E318" s="9"/>
      <c r="F318" s="9"/>
    </row>
    <row r="319">
      <c r="A319" s="9"/>
      <c r="B319" s="9"/>
      <c r="D319" s="9"/>
      <c r="E319" s="55"/>
      <c r="F319" s="9"/>
    </row>
    <row r="320">
      <c r="A320" s="55"/>
      <c r="B320" s="9"/>
      <c r="D320" s="9"/>
      <c r="E320" s="9"/>
      <c r="F320" s="9"/>
    </row>
    <row r="321">
      <c r="A321" s="9"/>
      <c r="B321" s="9"/>
      <c r="D321" s="9"/>
      <c r="E321" s="9"/>
      <c r="F321" s="9"/>
    </row>
    <row r="322">
      <c r="A322" s="9"/>
      <c r="B322" s="9"/>
      <c r="D322" s="9"/>
      <c r="E322" s="9"/>
      <c r="F322" s="9"/>
    </row>
    <row r="323">
      <c r="A323" s="9"/>
      <c r="B323" s="9"/>
      <c r="D323" s="9"/>
      <c r="E323" s="9"/>
      <c r="F323" s="9"/>
    </row>
    <row r="324">
      <c r="A324" s="9"/>
      <c r="B324" s="9"/>
      <c r="D324" s="9"/>
      <c r="E324" s="9"/>
      <c r="F324" s="9"/>
    </row>
    <row r="325">
      <c r="A325" s="9"/>
      <c r="B325" s="9"/>
      <c r="D325" s="9"/>
      <c r="E325" s="9"/>
      <c r="F325" s="9"/>
    </row>
    <row r="326">
      <c r="A326" s="9"/>
      <c r="B326" s="9"/>
      <c r="D326" s="9"/>
      <c r="E326" s="9"/>
      <c r="F326" s="9"/>
    </row>
    <row r="327">
      <c r="A327" s="9"/>
      <c r="B327" s="9"/>
      <c r="D327" s="9"/>
      <c r="E327" s="9"/>
      <c r="F327" s="9"/>
    </row>
    <row r="328">
      <c r="A328" s="9"/>
      <c r="B328" s="9"/>
      <c r="D328" s="9"/>
      <c r="E328" s="9"/>
      <c r="F328" s="9"/>
    </row>
    <row r="329">
      <c r="A329" s="9"/>
      <c r="B329" s="9"/>
      <c r="D329" s="9"/>
      <c r="E329" s="9"/>
      <c r="F329" s="9"/>
    </row>
    <row r="330">
      <c r="A330" s="9"/>
      <c r="B330" s="9"/>
      <c r="D330" s="9"/>
      <c r="E330" s="9"/>
      <c r="F330" s="9"/>
    </row>
    <row r="331">
      <c r="A331" s="9"/>
      <c r="B331" s="9"/>
      <c r="D331" s="9"/>
      <c r="E331" s="9"/>
      <c r="F331" s="9"/>
    </row>
    <row r="332">
      <c r="A332" s="9"/>
      <c r="B332" s="9"/>
      <c r="D332" s="9"/>
      <c r="E332" s="9"/>
      <c r="F332" s="9"/>
    </row>
    <row r="333">
      <c r="A333" s="9"/>
      <c r="B333" s="9"/>
      <c r="D333" s="9"/>
      <c r="E333" s="9"/>
      <c r="F333" s="9"/>
    </row>
    <row r="334">
      <c r="A334" s="9"/>
      <c r="B334" s="9"/>
      <c r="D334" s="9"/>
      <c r="E334" s="9"/>
      <c r="F334" s="9"/>
    </row>
    <row r="335">
      <c r="A335" s="9"/>
      <c r="B335" s="9"/>
      <c r="D335" s="9"/>
      <c r="E335" s="9"/>
      <c r="F335" s="9"/>
    </row>
    <row r="336">
      <c r="A336" s="9"/>
      <c r="B336" s="9"/>
      <c r="D336" s="9"/>
      <c r="E336" s="9"/>
      <c r="F336" s="9"/>
    </row>
    <row r="337">
      <c r="A337" s="9"/>
      <c r="B337" s="9"/>
      <c r="D337" s="9"/>
      <c r="E337" s="9"/>
      <c r="F337" s="9"/>
    </row>
    <row r="338">
      <c r="A338" s="9"/>
      <c r="B338" s="9"/>
      <c r="D338" s="9"/>
      <c r="E338" s="55"/>
      <c r="F338" s="9"/>
    </row>
    <row r="339">
      <c r="A339" s="55"/>
      <c r="B339" s="9"/>
      <c r="D339" s="9"/>
      <c r="E339" s="9"/>
      <c r="F339" s="9"/>
    </row>
    <row r="340">
      <c r="A340" s="9"/>
      <c r="B340" s="9"/>
      <c r="D340" s="9"/>
      <c r="E340" s="9"/>
      <c r="F340" s="9"/>
    </row>
    <row r="341">
      <c r="A341" s="9"/>
      <c r="B341" s="9"/>
      <c r="D341" s="9"/>
      <c r="E341" s="9"/>
      <c r="F341" s="9"/>
    </row>
    <row r="342">
      <c r="A342" s="9"/>
      <c r="B342" s="9"/>
      <c r="D342" s="9"/>
      <c r="E342" s="9"/>
      <c r="F342" s="9"/>
    </row>
    <row r="343">
      <c r="A343" s="9"/>
      <c r="B343" s="9"/>
      <c r="D343" s="9"/>
      <c r="E343" s="9"/>
      <c r="F343" s="9"/>
    </row>
    <row r="344">
      <c r="A344" s="9"/>
      <c r="B344" s="9"/>
      <c r="D344" s="9"/>
      <c r="E344" s="9"/>
      <c r="F344" s="9"/>
    </row>
    <row r="345">
      <c r="A345" s="9"/>
      <c r="B345" s="9"/>
      <c r="D345" s="9"/>
      <c r="E345" s="9"/>
      <c r="F345" s="9"/>
    </row>
    <row r="346">
      <c r="A346" s="9"/>
      <c r="B346" s="9"/>
      <c r="D346" s="9"/>
      <c r="E346" s="9"/>
      <c r="F346" s="9"/>
    </row>
    <row r="347">
      <c r="A347" s="9"/>
      <c r="B347" s="9"/>
      <c r="D347" s="9"/>
      <c r="E347" s="9"/>
      <c r="F347" s="9"/>
    </row>
    <row r="348">
      <c r="A348" s="9"/>
      <c r="B348" s="9"/>
      <c r="D348" s="9"/>
      <c r="E348" s="9"/>
      <c r="F348" s="9"/>
    </row>
    <row r="349">
      <c r="A349" s="9"/>
      <c r="B349" s="9"/>
      <c r="D349" s="9"/>
      <c r="E349" s="9"/>
      <c r="F349" s="9"/>
    </row>
    <row r="350">
      <c r="A350" s="9"/>
      <c r="B350" s="9"/>
      <c r="D350" s="9"/>
      <c r="E350" s="9"/>
      <c r="F350" s="9"/>
    </row>
    <row r="351">
      <c r="A351" s="9"/>
      <c r="B351" s="9"/>
      <c r="D351" s="9"/>
      <c r="E351" s="9"/>
      <c r="F351" s="9"/>
    </row>
    <row r="352">
      <c r="A352" s="9"/>
      <c r="B352" s="9"/>
      <c r="D352" s="9"/>
      <c r="E352" s="9"/>
      <c r="F352" s="9"/>
    </row>
    <row r="353">
      <c r="A353" s="9"/>
      <c r="B353" s="9"/>
      <c r="D353" s="9"/>
      <c r="E353" s="9"/>
      <c r="F353" s="9"/>
    </row>
    <row r="354">
      <c r="A354" s="9"/>
      <c r="B354" s="9"/>
      <c r="D354" s="9"/>
      <c r="E354" s="9"/>
      <c r="F354" s="9"/>
    </row>
    <row r="355">
      <c r="A355" s="9"/>
      <c r="B355" s="9"/>
      <c r="D355" s="9"/>
      <c r="E355" s="9"/>
      <c r="F355" s="9"/>
    </row>
    <row r="356">
      <c r="A356" s="9"/>
      <c r="B356" s="9"/>
      <c r="D356" s="9"/>
      <c r="E356" s="9"/>
      <c r="F356" s="9"/>
    </row>
    <row r="357">
      <c r="A357" s="9"/>
      <c r="B357" s="9"/>
      <c r="D357" s="9"/>
      <c r="E357" s="9"/>
      <c r="F357" s="9"/>
    </row>
    <row r="358">
      <c r="A358" s="9"/>
      <c r="B358" s="9"/>
      <c r="D358" s="9"/>
      <c r="E358" s="9"/>
      <c r="F358" s="9"/>
    </row>
    <row r="359">
      <c r="A359" s="9"/>
      <c r="B359" s="9"/>
      <c r="D359" s="9"/>
      <c r="E359" s="9"/>
      <c r="F359" s="9"/>
    </row>
    <row r="360">
      <c r="A360" s="9"/>
      <c r="B360" s="9"/>
      <c r="D360" s="9"/>
      <c r="E360" s="9"/>
      <c r="F360" s="9"/>
    </row>
    <row r="361">
      <c r="A361" s="9"/>
      <c r="B361" s="9"/>
      <c r="D361" s="9"/>
      <c r="E361" s="9"/>
      <c r="F361" s="9"/>
    </row>
    <row r="362">
      <c r="A362" s="9"/>
      <c r="B362" s="9"/>
      <c r="D362" s="9"/>
      <c r="E362" s="9"/>
      <c r="F362" s="9"/>
    </row>
    <row r="363">
      <c r="A363" s="9"/>
      <c r="B363" s="9"/>
      <c r="D363" s="9"/>
      <c r="E363" s="9"/>
      <c r="F363" s="9"/>
    </row>
    <row r="364">
      <c r="A364" s="9"/>
      <c r="B364" s="9"/>
      <c r="D364" s="9"/>
      <c r="E364" s="9"/>
      <c r="F364" s="9"/>
    </row>
    <row r="365">
      <c r="A365" s="9"/>
      <c r="B365" s="9"/>
      <c r="D365" s="9"/>
      <c r="E365" s="9"/>
      <c r="F365" s="9"/>
    </row>
    <row r="366">
      <c r="A366" s="9"/>
      <c r="B366" s="9"/>
      <c r="D366" s="9"/>
      <c r="E366" s="9"/>
      <c r="F366" s="9"/>
    </row>
    <row r="367">
      <c r="A367" s="9"/>
      <c r="B367" s="9"/>
      <c r="D367" s="9"/>
      <c r="E367" s="9"/>
      <c r="F367" s="9"/>
    </row>
    <row r="368">
      <c r="A368" s="9"/>
      <c r="B368" s="9"/>
      <c r="D368" s="9"/>
      <c r="E368" s="9"/>
      <c r="F368" s="9"/>
    </row>
    <row r="369">
      <c r="A369" s="9"/>
      <c r="B369" s="9"/>
      <c r="D369" s="9"/>
      <c r="E369" s="9"/>
      <c r="F369" s="9"/>
    </row>
    <row r="370">
      <c r="A370" s="9"/>
      <c r="B370" s="9"/>
      <c r="D370" s="9"/>
      <c r="E370" s="9"/>
      <c r="F370" s="9"/>
    </row>
    <row r="371">
      <c r="A371" s="9"/>
      <c r="B371" s="9"/>
      <c r="D371" s="9"/>
      <c r="E371" s="9"/>
      <c r="F371" s="9"/>
    </row>
    <row r="372">
      <c r="A372" s="9"/>
      <c r="B372" s="9"/>
      <c r="D372" s="9"/>
      <c r="E372" s="9"/>
      <c r="F372" s="9"/>
    </row>
    <row r="373">
      <c r="A373" s="9"/>
      <c r="B373" s="9"/>
      <c r="D373" s="9"/>
      <c r="E373" s="9"/>
      <c r="F373" s="9"/>
    </row>
    <row r="374">
      <c r="A374" s="9"/>
      <c r="B374" s="9"/>
      <c r="D374" s="9"/>
      <c r="E374" s="9"/>
      <c r="F374" s="9"/>
    </row>
    <row r="375">
      <c r="A375" s="9"/>
      <c r="B375" s="9"/>
      <c r="D375" s="9"/>
      <c r="E375" s="9"/>
      <c r="F375" s="9"/>
    </row>
    <row r="376">
      <c r="A376" s="9"/>
      <c r="B376" s="9"/>
      <c r="D376" s="9"/>
      <c r="E376" s="9"/>
      <c r="F376" s="9"/>
    </row>
    <row r="377">
      <c r="A377" s="9"/>
      <c r="B377" s="9"/>
      <c r="D377" s="9"/>
      <c r="E377" s="9"/>
      <c r="F377" s="9"/>
    </row>
    <row r="378">
      <c r="A378" s="9"/>
      <c r="B378" s="9"/>
      <c r="D378" s="9"/>
      <c r="E378" s="9"/>
      <c r="F378" s="9"/>
    </row>
    <row r="379">
      <c r="A379" s="9"/>
      <c r="B379" s="9"/>
      <c r="D379" s="9"/>
      <c r="E379" s="9"/>
      <c r="F379" s="9"/>
    </row>
    <row r="380">
      <c r="A380" s="9"/>
      <c r="B380" s="9"/>
      <c r="D380" s="9"/>
      <c r="E380" s="9"/>
      <c r="F380" s="9"/>
    </row>
    <row r="381">
      <c r="A381" s="9"/>
      <c r="B381" s="9"/>
      <c r="D381" s="9"/>
      <c r="E381" s="9"/>
      <c r="F381" s="9"/>
    </row>
    <row r="382">
      <c r="A382" s="9"/>
      <c r="B382" s="9"/>
      <c r="D382" s="9"/>
      <c r="E382" s="9"/>
      <c r="F382" s="9"/>
    </row>
    <row r="383">
      <c r="A383" s="9"/>
      <c r="B383" s="9"/>
      <c r="D383" s="9"/>
      <c r="E383" s="9"/>
      <c r="F383" s="9"/>
    </row>
    <row r="384">
      <c r="A384" s="9"/>
      <c r="B384" s="9"/>
      <c r="D384" s="9"/>
      <c r="E384" s="9"/>
      <c r="F384" s="9"/>
    </row>
    <row r="385">
      <c r="A385" s="9"/>
      <c r="B385" s="9"/>
      <c r="D385" s="9"/>
      <c r="E385" s="9"/>
      <c r="F385" s="9"/>
    </row>
    <row r="386">
      <c r="A386" s="9"/>
      <c r="B386" s="9"/>
      <c r="D386" s="9"/>
      <c r="E386" s="9"/>
      <c r="F386" s="9"/>
    </row>
    <row r="387">
      <c r="A387" s="9"/>
      <c r="B387" s="9"/>
      <c r="D387" s="9"/>
      <c r="E387" s="9"/>
      <c r="F387" s="9"/>
    </row>
    <row r="388">
      <c r="A388" s="9"/>
      <c r="B388" s="9"/>
      <c r="D388" s="9"/>
      <c r="E388" s="9"/>
      <c r="F388" s="9"/>
    </row>
    <row r="389">
      <c r="A389" s="9"/>
      <c r="B389" s="9"/>
      <c r="D389" s="9"/>
      <c r="E389" s="9"/>
      <c r="F389" s="9"/>
    </row>
    <row r="390">
      <c r="A390" s="9"/>
      <c r="B390" s="9"/>
      <c r="D390" s="9"/>
      <c r="E390" s="9"/>
      <c r="F390" s="9"/>
    </row>
    <row r="391">
      <c r="A391" s="9"/>
      <c r="B391" s="9"/>
      <c r="D391" s="9"/>
      <c r="E391" s="9"/>
      <c r="F391" s="9"/>
    </row>
    <row r="392">
      <c r="A392" s="9"/>
      <c r="B392" s="9"/>
      <c r="D392" s="9"/>
      <c r="E392" s="9"/>
      <c r="F392" s="9"/>
    </row>
    <row r="393">
      <c r="A393" s="9"/>
      <c r="B393" s="9"/>
      <c r="D393" s="9"/>
      <c r="E393" s="9"/>
    </row>
    <row r="394">
      <c r="A394" s="9"/>
      <c r="B394" s="9"/>
      <c r="D394" s="9"/>
      <c r="E394" s="9"/>
      <c r="F394" s="13"/>
    </row>
    <row r="395">
      <c r="A395" s="9"/>
      <c r="B395" s="9"/>
      <c r="D395" s="9"/>
      <c r="E395" s="9"/>
      <c r="F395" s="13"/>
    </row>
    <row r="396">
      <c r="A396" s="9"/>
      <c r="B396" s="9"/>
      <c r="D396" s="9"/>
    </row>
    <row r="397">
      <c r="A397" s="1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7" activeCellId="0" sqref="G17"/>
    </sheetView>
  </sheetViews>
  <sheetFormatPr defaultRowHeight="14.25"/>
  <cols>
    <col bestFit="1" customWidth="1" min="8" max="8" width="15.3984375"/>
  </cols>
  <sheetData>
    <row r="1">
      <c r="A1" s="28" t="s">
        <v>11</v>
      </c>
      <c r="B1" s="29">
        <v>5.0000000000000003e-002</v>
      </c>
      <c r="C1" s="29">
        <v>0.14999999999999999</v>
      </c>
      <c r="D1" s="29">
        <v>0.25</v>
      </c>
      <c r="E1" s="29">
        <v>0.34999999999999998</v>
      </c>
      <c r="F1" s="29">
        <v>0.45000000000000001</v>
      </c>
      <c r="G1" s="30">
        <v>0.55000000000000004</v>
      </c>
      <c r="H1" s="28" t="s">
        <v>20</v>
      </c>
    </row>
    <row r="2">
      <c r="A2" s="32">
        <v>1</v>
      </c>
      <c r="B2">
        <v>23.844000000000001</v>
      </c>
      <c r="C2">
        <v>14.49</v>
      </c>
      <c r="D2">
        <v>11.285</v>
      </c>
      <c r="E2">
        <v>9.6229999999999993</v>
      </c>
      <c r="F2">
        <v>8.3829999999999991</v>
      </c>
      <c r="G2" s="33">
        <v>7.6909999999999998</v>
      </c>
      <c r="H2" s="32">
        <f>$B1+$I$2/3</f>
        <v>5.0000000000000003e-002</v>
      </c>
    </row>
    <row r="3">
      <c r="A3" s="36">
        <v>2</v>
      </c>
      <c r="B3">
        <v>24.542999999999999</v>
      </c>
      <c r="C3">
        <v>14.622</v>
      </c>
      <c r="D3">
        <v>11.177</v>
      </c>
      <c r="E3">
        <v>9.5730000000000004</v>
      </c>
      <c r="F3">
        <v>8.4060000000000006</v>
      </c>
      <c r="G3" s="33">
        <v>7.5910000000000002</v>
      </c>
      <c r="H3" s="32">
        <f>$C1+$I$2/3</f>
        <v>0.14999999999999999</v>
      </c>
    </row>
    <row r="4">
      <c r="A4" s="36">
        <v>3</v>
      </c>
      <c r="B4">
        <v>24.129999999999999</v>
      </c>
      <c r="C4">
        <v>14.653</v>
      </c>
      <c r="D4">
        <v>11.301</v>
      </c>
      <c r="E4">
        <v>9.6159999999999997</v>
      </c>
      <c r="F4">
        <v>8.3879999999999999</v>
      </c>
      <c r="G4" s="33">
        <v>7.6589999999999998</v>
      </c>
      <c r="H4" s="32">
        <f>$D1+$I$2/3</f>
        <v>0.25</v>
      </c>
    </row>
    <row r="5">
      <c r="A5" s="36">
        <v>4</v>
      </c>
      <c r="B5">
        <v>24.359999999999999</v>
      </c>
      <c r="C5">
        <v>14.534000000000001</v>
      </c>
      <c r="D5">
        <v>11.298999999999999</v>
      </c>
      <c r="E5">
        <v>9.6300000000000008</v>
      </c>
      <c r="F5">
        <v>8.3859999999999992</v>
      </c>
      <c r="G5" s="33">
        <v>7.5999999999999996</v>
      </c>
      <c r="H5" s="32">
        <f>$E1+$I$2/3</f>
        <v>0.34999999999999998</v>
      </c>
    </row>
    <row r="6" ht="14.65">
      <c r="A6" s="36">
        <v>5</v>
      </c>
      <c r="B6">
        <v>24.425000000000001</v>
      </c>
      <c r="C6">
        <v>14.542</v>
      </c>
      <c r="D6">
        <v>11.26</v>
      </c>
      <c r="E6">
        <v>9.6170000000000009</v>
      </c>
      <c r="F6">
        <v>8.4019999999999992</v>
      </c>
      <c r="G6" s="33">
        <v>7.6319999999999997</v>
      </c>
      <c r="H6" s="32">
        <f>$F1+$I$2/3</f>
        <v>0.45000000000000001</v>
      </c>
    </row>
    <row r="7" ht="14.65">
      <c r="A7" s="37" t="s">
        <v>14</v>
      </c>
      <c r="B7" s="56">
        <f>AVERAGE(B2:B6)</f>
        <v>24.260399999999997</v>
      </c>
      <c r="C7" s="56">
        <f>AVERAGE(C2:C6)</f>
        <v>14.568199999999999</v>
      </c>
      <c r="D7" s="56">
        <f>AVERAGE(D2:D6)</f>
        <v>11.264399999999998</v>
      </c>
      <c r="E7" s="56">
        <f t="shared" ref="E7:G7" si="9">AVERAGE(E2:E6)</f>
        <v>9.6117999999999988</v>
      </c>
      <c r="F7" s="56">
        <f t="shared" si="9"/>
        <v>8.3930000000000007</v>
      </c>
      <c r="G7" s="57">
        <f t="shared" si="9"/>
        <v>7.6345999999999989</v>
      </c>
      <c r="H7" s="58">
        <f>$G1+$I$2/3</f>
        <v>0.55000000000000004</v>
      </c>
    </row>
    <row r="8">
      <c r="A8" s="42" t="s">
        <v>15</v>
      </c>
      <c r="B8">
        <f>_xlfn.STDEV.S(B2:B6)</f>
        <v>0.27715934045238261</v>
      </c>
      <c r="C8">
        <f>_xlfn.STDEV.S(C2:C6)</f>
        <v>6.7187796510973619e-002</v>
      </c>
      <c r="D8">
        <f>_xlfn.STDEV.S(D2:D6)</f>
        <v>5.1524751333703808e-002</v>
      </c>
      <c r="E8">
        <f>_xlfn.STDEV.S(E2:E6)</f>
        <v>2.2398660674245618e-002</v>
      </c>
      <c r="F8">
        <f>_xlfn.STDEV.S(F2:F6)</f>
        <v>1.0295630140987376e-002</v>
      </c>
      <c r="G8" s="33">
        <f>_xlfn.STDEV.S(G2:G6)</f>
        <v>4.1476499370125187e-002</v>
      </c>
    </row>
    <row r="9" ht="14.65">
      <c r="A9" s="45" t="s">
        <v>16</v>
      </c>
      <c r="B9" s="59">
        <f>B8/SQRT(5)</f>
        <v>0.12394942517010696</v>
      </c>
      <c r="C9" s="59">
        <f>C8/SQRT(5)</f>
        <v>3.0047296051392041e-002</v>
      </c>
      <c r="D9" s="59">
        <f>D8/SQRT(5)</f>
        <v>2.3042569301186932e-002</v>
      </c>
      <c r="E9" s="59">
        <f t="shared" ref="E9:G9" si="10">E8/SQRT(5)</f>
        <v>1.0016985574512895e-002</v>
      </c>
      <c r="F9" s="59">
        <f t="shared" si="10"/>
        <v>4.6043457732887032e-003</v>
      </c>
      <c r="G9" s="41">
        <f t="shared" si="10"/>
        <v>1.8548854412065423e-002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m.declich@campus.unimib.it</dc:creator>
  <cp:revision>1</cp:revision>
  <dcterms:created xsi:type="dcterms:W3CDTF">2026-04-14T09:24:11Z</dcterms:created>
  <dcterms:modified xsi:type="dcterms:W3CDTF">2026-05-30T16:46:07Z</dcterms:modified>
</cp:coreProperties>
</file>