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78" documentId="8_{776634F0-C4C9-4588-BBA4-07B3E3D5FCB7}" xr6:coauthVersionLast="47" xr6:coauthVersionMax="47" xr10:uidLastSave="{7721969C-A558-4808-A139-C6B147DE1BFF}"/>
  <bookViews>
    <workbookView xWindow="675" yWindow="1657" windowWidth="16200" windowHeight="9308" firstSheet="1" activeTab="3" xr2:uid="{90936311-A4D2-4EF7-9615-E94103A7D1D9}"/>
  </bookViews>
  <sheets>
    <sheet name="Misure statiche 1" sheetId="1" r:id="rId1"/>
    <sheet name="Misure statiche 2" sheetId="4" r:id="rId2"/>
    <sheet name="Misure statiche 3" sheetId="5" r:id="rId3"/>
    <sheet name="Misure dinamiche" sheetId="2" r:id="rId4"/>
    <sheet name="Molle in serie" sheetId="3" r:id="rId5"/>
    <sheet name="Molle in parallelo" sheetId="6" r:id="rId6"/>
    <sheet name="Foglio2" sheetId="8" r:id="rId7"/>
  </sheets>
  <definedNames>
    <definedName name="_xlnm._FilterDatabase" localSheetId="4" hidden="1">'Molle in serie'!$A$1:$F$1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2" l="1"/>
  <c r="H2" i="2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I7" i="2"/>
  <c r="J7" i="2" s="1"/>
  <c r="I6" i="2"/>
  <c r="K6" i="2" s="1"/>
  <c r="I5" i="2"/>
  <c r="K5" i="2" s="1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I3" i="2" s="1"/>
  <c r="E7" i="2"/>
  <c r="F7" i="2"/>
  <c r="G7" i="2"/>
  <c r="C3" i="4"/>
  <c r="C4" i="4"/>
  <c r="C5" i="4"/>
  <c r="C6" i="4"/>
  <c r="C2" i="4"/>
  <c r="D7" i="2"/>
  <c r="I4" i="2" s="1"/>
  <c r="D8" i="2"/>
  <c r="K4" i="2" l="1"/>
  <c r="K3" i="2"/>
  <c r="J3" i="2"/>
  <c r="K2" i="2"/>
  <c r="J2" i="2"/>
  <c r="K7" i="2"/>
  <c r="J5" i="2"/>
  <c r="J6" i="2"/>
  <c r="D9" i="2"/>
  <c r="J4" i="2" s="1"/>
</calcChain>
</file>

<file path=xl/sharedStrings.xml><?xml version="1.0" encoding="utf-8"?>
<sst xmlns="http://schemas.openxmlformats.org/spreadsheetml/2006/main" count="49" uniqueCount="27">
  <si>
    <t>m[g]</t>
  </si>
  <si>
    <t>posizione</t>
  </si>
  <si>
    <t>allungamento</t>
  </si>
  <si>
    <t>incertezza su all.</t>
  </si>
  <si>
    <t>d [m] senza pesi</t>
  </si>
  <si>
    <t>incertezza su d</t>
  </si>
  <si>
    <t>T</t>
  </si>
  <si>
    <t>T^2</t>
  </si>
  <si>
    <t>m(g)</t>
  </si>
  <si>
    <t>σΤ</t>
  </si>
  <si>
    <t>σT^2</t>
  </si>
  <si>
    <t>d</t>
  </si>
  <si>
    <t>Media</t>
  </si>
  <si>
    <t>Dev.std</t>
  </si>
  <si>
    <t>Dev.std.med</t>
  </si>
  <si>
    <t>0.0037153038120194804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</si>
  <si>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</si>
  <si>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</si>
  <si>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</si>
  <si>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</si>
  <si>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</si>
  <si>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</si>
  <si>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</si>
  <si>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incertezza m [kg]</t>
  </si>
  <si>
    <t>posizione[m]</t>
  </si>
  <si>
    <t>allungamento [m]</t>
  </si>
  <si>
    <t>Masse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</si>
</sst>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0" xfId="0" applyFill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1" fillId="0" borderId="0" xfId="0" applyNumberFormat="1" applyFont="1" applyAlignment="1">
      <alignment horizontal="right" wrapText="1"/>
    </xf>
    <xf numFmtId="11" fontId="0" fillId="3" borderId="2" xfId="0" applyNumberFormat="1" applyFill="1" applyBorder="1"/>
    <xf numFmtId="11" fontId="0" fillId="3" borderId="3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G11"/>
  <sheetViews>
    <sheetView workbookViewId="0">
      <selection activeCell="B8" sqref="B8"/>
    </sheetView>
  </sheetViews>
  <sheetFormatPr defaultRowHeight="14.25"/>
  <sheetData>
    <row r="1" spans="1:7" ht="39.75">
      <c r="A1" s="3" t="s">
        <v>22</v>
      </c>
      <c r="B1" s="3" t="s">
        <v>23</v>
      </c>
      <c r="C1" s="3" t="s">
        <v>24</v>
      </c>
      <c r="D1" s="3" t="s">
        <v>25</v>
      </c>
      <c r="E1" s="3" t="s">
        <v>3</v>
      </c>
      <c r="F1" s="3" t="s">
        <v>4</v>
      </c>
      <c r="G1" s="3" t="s">
        <v>5</v>
      </c>
    </row>
    <row r="2" spans="1:7">
      <c r="A2" s="19">
        <v>0.05</v>
      </c>
      <c r="B2" s="17">
        <v>1E-3</v>
      </c>
      <c r="C2" s="1">
        <v>1.24</v>
      </c>
      <c r="D2" s="1">
        <v>0.02</v>
      </c>
      <c r="E2" s="1">
        <v>1.4142135619999999E-2</v>
      </c>
      <c r="F2" s="1">
        <v>1.26</v>
      </c>
      <c r="G2" s="1">
        <v>0.01</v>
      </c>
    </row>
    <row r="3" spans="1:7">
      <c r="A3" s="19">
        <v>0.1</v>
      </c>
      <c r="B3" s="2"/>
      <c r="C3" s="1">
        <v>1.23</v>
      </c>
      <c r="D3" s="1">
        <v>0.03</v>
      </c>
      <c r="E3" s="1">
        <v>1.4142135619999999E-2</v>
      </c>
      <c r="F3" s="2"/>
      <c r="G3" s="2"/>
    </row>
    <row r="4" spans="1:7">
      <c r="A4" s="19">
        <v>0.2</v>
      </c>
      <c r="B4" s="2"/>
      <c r="C4" s="1">
        <v>1.2</v>
      </c>
      <c r="D4" s="1">
        <v>0.06</v>
      </c>
      <c r="E4" s="1">
        <v>1.4142135619999999E-2</v>
      </c>
      <c r="F4" s="2"/>
      <c r="G4" s="2"/>
    </row>
    <row r="5" spans="1:7">
      <c r="A5" s="19">
        <v>0.3</v>
      </c>
      <c r="B5" s="2"/>
      <c r="C5" s="1">
        <v>1.1599999999999999</v>
      </c>
      <c r="D5" s="1">
        <v>0.1</v>
      </c>
      <c r="E5" s="1">
        <v>1.4142135619999999E-2</v>
      </c>
      <c r="F5" s="2"/>
      <c r="G5" s="2"/>
    </row>
    <row r="6" spans="1:7">
      <c r="A6" s="19">
        <v>0.4</v>
      </c>
      <c r="B6" s="2"/>
      <c r="C6" s="18">
        <v>1.1299999999999999</v>
      </c>
      <c r="D6" s="1">
        <v>0.13</v>
      </c>
      <c r="E6" s="1">
        <v>1.4142135619999999E-2</v>
      </c>
      <c r="F6" s="2"/>
      <c r="G6" s="2"/>
    </row>
    <row r="7" spans="1:7">
      <c r="A7" s="19">
        <v>0.5</v>
      </c>
      <c r="B7" s="2"/>
      <c r="C7" s="1">
        <v>1.1000000000000001</v>
      </c>
      <c r="D7" s="1">
        <v>0.16</v>
      </c>
      <c r="E7" s="1">
        <v>1.4142135619999999E-2</v>
      </c>
      <c r="F7" s="2"/>
      <c r="G7" s="2"/>
    </row>
    <row r="8" spans="1:7">
      <c r="A8" s="19">
        <v>0.6</v>
      </c>
      <c r="B8" s="2"/>
      <c r="C8" s="1">
        <v>1.07</v>
      </c>
      <c r="D8" s="1">
        <v>0.19</v>
      </c>
      <c r="E8" s="1">
        <v>1.4142135619999999E-2</v>
      </c>
      <c r="F8" s="2"/>
      <c r="G8" s="2"/>
    </row>
    <row r="9" spans="1:7">
      <c r="A9" s="19">
        <v>0.7</v>
      </c>
      <c r="B9" s="2"/>
      <c r="C9" s="1">
        <v>1.04</v>
      </c>
      <c r="D9" s="1">
        <v>0.22</v>
      </c>
      <c r="E9" s="1">
        <v>1.4142135619999999E-2</v>
      </c>
      <c r="F9" s="2"/>
      <c r="G9" s="2"/>
    </row>
    <row r="10" spans="1:7">
      <c r="A10" s="19">
        <v>0.8</v>
      </c>
      <c r="B10" s="4"/>
      <c r="C10" s="1">
        <v>1.01</v>
      </c>
      <c r="D10" s="1">
        <v>0.25</v>
      </c>
      <c r="E10" s="1">
        <v>1.4142135619999999E-2</v>
      </c>
      <c r="F10" s="2"/>
      <c r="G10" s="2"/>
    </row>
    <row r="11" spans="1:7">
      <c r="A11" s="19">
        <v>0.9</v>
      </c>
      <c r="B11" s="2"/>
      <c r="C11" s="1">
        <v>0.97</v>
      </c>
      <c r="D11" s="1">
        <v>0.28999999999999998</v>
      </c>
      <c r="E11" s="1">
        <v>1.4142135619999999E-2</v>
      </c>
      <c r="F11" s="2"/>
      <c r="G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F11"/>
  <sheetViews>
    <sheetView workbookViewId="0">
      <selection activeCell="G9" sqref="G9"/>
    </sheetView>
  </sheetViews>
  <sheetFormatPr defaultRowHeight="14.25"/>
  <sheetData>
    <row r="1" spans="1:6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1">
        <v>100</v>
      </c>
      <c r="B2" s="1">
        <v>1.23</v>
      </c>
      <c r="C2" s="1">
        <f>$E$2-B2</f>
        <v>3.0000000000000027E-2</v>
      </c>
      <c r="D2" s="1">
        <v>1.4142135619999999E-2</v>
      </c>
      <c r="E2" s="1">
        <v>1.26</v>
      </c>
      <c r="F2" s="1">
        <v>0.01</v>
      </c>
    </row>
    <row r="3" spans="1:6">
      <c r="A3" s="1">
        <v>200</v>
      </c>
      <c r="B3" s="1">
        <v>1.19</v>
      </c>
      <c r="C3" s="1">
        <f t="shared" ref="C3:C6" si="0">$E$2-B3</f>
        <v>7.0000000000000062E-2</v>
      </c>
      <c r="D3" s="1">
        <v>1.4142135619999999E-2</v>
      </c>
      <c r="E3" s="2"/>
      <c r="F3" s="2"/>
    </row>
    <row r="4" spans="1:6">
      <c r="A4" s="1">
        <v>300</v>
      </c>
      <c r="B4" s="1">
        <v>1.1599999999999999</v>
      </c>
      <c r="C4" s="1">
        <f t="shared" si="0"/>
        <v>0.10000000000000009</v>
      </c>
      <c r="D4" s="1">
        <v>1.4142135619999999E-2</v>
      </c>
      <c r="E4" s="2"/>
      <c r="F4" s="2"/>
    </row>
    <row r="5" spans="1:6">
      <c r="A5" s="1">
        <v>400</v>
      </c>
      <c r="B5" s="1">
        <v>1.1299999999999999</v>
      </c>
      <c r="C5" s="1">
        <f t="shared" si="0"/>
        <v>0.13000000000000012</v>
      </c>
      <c r="D5" s="1">
        <v>1.4142135619999999E-2</v>
      </c>
      <c r="E5" s="2"/>
      <c r="F5" s="2"/>
    </row>
    <row r="6" spans="1:6">
      <c r="A6" s="1">
        <v>500</v>
      </c>
      <c r="B6" s="1">
        <v>1.1000000000000001</v>
      </c>
      <c r="C6" s="1">
        <f t="shared" si="0"/>
        <v>0.15999999999999992</v>
      </c>
      <c r="D6" s="1">
        <v>1.4142135619999999E-2</v>
      </c>
      <c r="E6" s="2"/>
      <c r="F6" s="2"/>
    </row>
    <row r="7" spans="1:6">
      <c r="A7" s="2"/>
      <c r="B7" s="2"/>
    </row>
    <row r="8" spans="1:6">
      <c r="A8" s="2"/>
      <c r="B8" s="2"/>
    </row>
    <row r="9" spans="1:6">
      <c r="A9" s="2"/>
      <c r="B9" s="2"/>
    </row>
    <row r="10" spans="1:6">
      <c r="A10" s="2"/>
      <c r="B10" s="2"/>
    </row>
    <row r="11" spans="1:6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C9" sqref="C9"/>
    </sheetView>
  </sheetViews>
  <sheetFormatPr defaultRowHeight="14.25"/>
  <cols>
    <col min="4" max="4" width="11.265625" bestFit="1" customWidth="1"/>
  </cols>
  <sheetData>
    <row r="1" spans="1:6" ht="26.25">
      <c r="A1" s="2" t="s">
        <v>0</v>
      </c>
      <c r="B1" s="2" t="s">
        <v>1</v>
      </c>
      <c r="C1" s="2" t="s">
        <v>2</v>
      </c>
      <c r="D1" s="2" t="s">
        <v>3</v>
      </c>
      <c r="E1" s="2" t="s">
        <v>11</v>
      </c>
    </row>
    <row r="2" spans="1:6">
      <c r="A2" s="1">
        <v>50</v>
      </c>
      <c r="B2" s="1">
        <v>1.1100000000000001</v>
      </c>
      <c r="C2" s="2">
        <f>$E$2-B2</f>
        <v>5.9999999999999831E-2</v>
      </c>
      <c r="D2" s="2">
        <f>0.01*SQRT(2)</f>
        <v>1.4142135623730952E-2</v>
      </c>
      <c r="E2" s="1">
        <v>1.17</v>
      </c>
    </row>
    <row r="3" spans="1:6">
      <c r="A3" s="1">
        <v>70</v>
      </c>
      <c r="B3" s="1">
        <v>1.0900000000000001</v>
      </c>
      <c r="C3" s="2">
        <f>$E$2-B3</f>
        <v>7.9999999999999849E-2</v>
      </c>
      <c r="D3" s="2">
        <f t="shared" ref="D3:D6" si="0">0.01*SQRT(2)</f>
        <v>1.4142135623730952E-2</v>
      </c>
      <c r="E3" s="2"/>
    </row>
    <row r="4" spans="1:6">
      <c r="A4" s="1">
        <v>100</v>
      </c>
      <c r="B4" s="1">
        <v>1.06</v>
      </c>
      <c r="C4" s="2">
        <f t="shared" ref="C4:C6" si="1">$E$2-B4</f>
        <v>0.10999999999999988</v>
      </c>
      <c r="D4" s="2">
        <f t="shared" si="0"/>
        <v>1.4142135623730952E-2</v>
      </c>
      <c r="E4" s="2"/>
    </row>
    <row r="5" spans="1:6">
      <c r="A5" s="1">
        <v>150</v>
      </c>
      <c r="B5" s="1">
        <v>1.01</v>
      </c>
      <c r="C5" s="2">
        <f t="shared" si="1"/>
        <v>0.15999999999999992</v>
      </c>
      <c r="D5" s="2">
        <f t="shared" si="0"/>
        <v>1.4142135623730952E-2</v>
      </c>
      <c r="E5" s="2"/>
    </row>
    <row r="6" spans="1:6">
      <c r="A6" s="1">
        <v>200</v>
      </c>
      <c r="B6" s="1">
        <v>0.95</v>
      </c>
      <c r="C6" s="2">
        <f t="shared" si="1"/>
        <v>0.21999999999999997</v>
      </c>
      <c r="D6" s="2">
        <f t="shared" si="0"/>
        <v>1.4142135623730952E-2</v>
      </c>
      <c r="E6" s="2"/>
    </row>
    <row r="7" spans="1:6">
      <c r="D7" s="2"/>
      <c r="E7" s="2"/>
      <c r="F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M9"/>
  <sheetViews>
    <sheetView tabSelected="1" workbookViewId="0">
      <selection activeCell="G2" sqref="G2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12" max="12" width="22.3984375" customWidth="1"/>
  </cols>
  <sheetData>
    <row r="1" spans="1:13">
      <c r="A1" s="5" t="s">
        <v>26</v>
      </c>
      <c r="B1" s="20">
        <v>0.05</v>
      </c>
      <c r="C1" s="20">
        <v>0.15</v>
      </c>
      <c r="D1" s="20">
        <v>0.25</v>
      </c>
      <c r="E1" s="20">
        <v>0.35</v>
      </c>
      <c r="F1" s="20">
        <v>0.45</v>
      </c>
      <c r="G1" s="21">
        <v>0.55000000000000004</v>
      </c>
      <c r="H1" t="s">
        <v>8</v>
      </c>
      <c r="I1" s="13" t="s">
        <v>6</v>
      </c>
      <c r="J1" s="13" t="s">
        <v>9</v>
      </c>
      <c r="K1" s="13" t="s">
        <v>7</v>
      </c>
      <c r="L1" s="13" t="s">
        <v>10</v>
      </c>
      <c r="M1">
        <v>11.3</v>
      </c>
    </row>
    <row r="2" spans="1:13">
      <c r="A2" s="7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8">
        <v>7.6909999999999998</v>
      </c>
      <c r="H2">
        <f>$B1+$M$1/3</f>
        <v>3.8166666666666669</v>
      </c>
      <c r="I2">
        <f>2*PI()/B7</f>
        <v>0.25898935331567441</v>
      </c>
      <c r="J2">
        <f>I2*(2*PI()/B7^2)*B9</f>
        <v>3.4269706290817735E-4</v>
      </c>
      <c r="K2">
        <f>I2^2</f>
        <v>6.7075485130871235E-2</v>
      </c>
      <c r="L2" s="16" t="s">
        <v>15</v>
      </c>
    </row>
    <row r="3" spans="1:13">
      <c r="A3" s="14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8">
        <v>7.5910000000000002</v>
      </c>
      <c r="H3">
        <f>$C1+$M$1/3</f>
        <v>3.916666666666667</v>
      </c>
      <c r="I3">
        <f>2*PI()/C7</f>
        <v>0.43129455301132513</v>
      </c>
      <c r="J3">
        <f>I3*(2*PI()/C7^2)*C9</f>
        <v>3.8366081728098282E-4</v>
      </c>
      <c r="K3">
        <f t="shared" ref="K3:K7" si="0">I3^2</f>
        <v>0.18601499145723874</v>
      </c>
      <c r="L3" s="16" t="s">
        <v>15</v>
      </c>
    </row>
    <row r="4" spans="1:13">
      <c r="A4" s="14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8">
        <v>7.6589999999999998</v>
      </c>
      <c r="H4">
        <f>$D1+$M$1/3</f>
        <v>4.0166666666666675</v>
      </c>
      <c r="I4">
        <f>2*PI()/D7</f>
        <v>0.55779138766197822</v>
      </c>
      <c r="J4">
        <f>I4*(2*PI()/D7^2)*D9</f>
        <v>6.3645316027282251E-4</v>
      </c>
      <c r="K4">
        <f t="shared" si="0"/>
        <v>0.31113123214987526</v>
      </c>
      <c r="L4" s="16" t="s">
        <v>15</v>
      </c>
    </row>
    <row r="5" spans="1:13">
      <c r="A5" s="14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8">
        <v>7.6</v>
      </c>
      <c r="H5">
        <f>$E1+$M$1/3</f>
        <v>4.1166666666666671</v>
      </c>
      <c r="I5">
        <f>2*PI()/E$7</f>
        <v>0.65369496943128103</v>
      </c>
      <c r="J5">
        <f>I5*(2*PI()/E7^2)*E9</f>
        <v>4.4533067242994513E-4</v>
      </c>
      <c r="K5">
        <f t="shared" si="0"/>
        <v>0.42731711305976344</v>
      </c>
      <c r="L5" s="16" t="s">
        <v>15</v>
      </c>
    </row>
    <row r="6" spans="1:13" ht="14.65" thickBot="1">
      <c r="A6" s="14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8">
        <v>7.6319999999999997</v>
      </c>
      <c r="H6">
        <f>$F1+$M$1/3</f>
        <v>4.2166666666666668</v>
      </c>
      <c r="I6">
        <f>2*PI()/F$7</f>
        <v>0.748622102606885</v>
      </c>
      <c r="J6">
        <f>I6*(2*PI()/F7^2)*F9</f>
        <v>3.0745106222261452E-4</v>
      </c>
      <c r="K6">
        <f t="shared" si="0"/>
        <v>0.56043505251155346</v>
      </c>
      <c r="L6" s="16" t="s">
        <v>15</v>
      </c>
    </row>
    <row r="7" spans="1:13">
      <c r="A7" s="10" t="s">
        <v>12</v>
      </c>
      <c r="B7" s="6">
        <f>AVERAGE(B2:B6)</f>
        <v>24.260399999999997</v>
      </c>
      <c r="C7" s="6">
        <f>AVERAGE(C2:C6)</f>
        <v>14.568199999999999</v>
      </c>
      <c r="D7" s="6">
        <f>AVERAGE(D2:D6)</f>
        <v>11.264399999999998</v>
      </c>
      <c r="E7" s="6">
        <f t="shared" ref="E7:G7" si="1">AVERAGE(E2:E6)</f>
        <v>9.6117999999999988</v>
      </c>
      <c r="F7" s="6">
        <f t="shared" si="1"/>
        <v>8.3930000000000007</v>
      </c>
      <c r="G7" s="6">
        <f t="shared" si="1"/>
        <v>7.6345999999999989</v>
      </c>
      <c r="H7">
        <f>$G1+$M$1/3</f>
        <v>4.3166666666666673</v>
      </c>
      <c r="I7">
        <f>2*PI()/G7</f>
        <v>0.82298814701223211</v>
      </c>
      <c r="J7">
        <f>I7*(2*PI()/G7^2)*G9</f>
        <v>1.6455760778816024E-3</v>
      </c>
      <c r="K7">
        <f t="shared" si="0"/>
        <v>0.67730949012262742</v>
      </c>
      <c r="L7" s="16" t="s">
        <v>15</v>
      </c>
    </row>
    <row r="8" spans="1:13">
      <c r="A8" s="11" t="s">
        <v>13</v>
      </c>
      <c r="B8">
        <f t="shared" ref="B8" si="2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>
        <f>_xlfn.STDEV.S(G2:G6)</f>
        <v>4.1476499370125187E-2</v>
      </c>
    </row>
    <row r="9" spans="1:13" ht="14.65" thickBot="1">
      <c r="A9" s="12" t="s">
        <v>14</v>
      </c>
      <c r="B9" s="9">
        <f>B8/SQRT(5)</f>
        <v>0.12394942517010696</v>
      </c>
      <c r="C9" s="9">
        <f>C8/SQRT(5)</f>
        <v>3.0047296051392041E-2</v>
      </c>
      <c r="D9" s="9">
        <f>D8/SQRT(5)</f>
        <v>2.3042569301186932E-2</v>
      </c>
      <c r="E9" s="9">
        <f t="shared" ref="E9:G9" si="3">E8/SQRT(5)</f>
        <v>1.0016985574512895E-2</v>
      </c>
      <c r="F9" s="9">
        <f t="shared" si="3"/>
        <v>4.6043457732887032E-3</v>
      </c>
      <c r="G9" s="9">
        <f t="shared" si="3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sheetPr filterMode="1"/>
  <dimension ref="A1:G10"/>
  <sheetViews>
    <sheetView workbookViewId="0">
      <selection activeCell="J28" sqref="J28"/>
    </sheetView>
  </sheetViews>
  <sheetFormatPr defaultRowHeight="14.25"/>
  <sheetData>
    <row r="1" spans="1:7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7">
      <c r="A2" s="1">
        <v>70</v>
      </c>
      <c r="B2" s="1">
        <v>0.99</v>
      </c>
      <c r="C2" s="2">
        <f>$E$2-B2</f>
        <v>9.000000000000008E-2</v>
      </c>
      <c r="D2" s="2">
        <f>0.01*SQRT(2)</f>
        <v>1.4142135623730952E-2</v>
      </c>
      <c r="E2" s="1">
        <v>1.08</v>
      </c>
    </row>
    <row r="3" spans="1:7">
      <c r="A3" s="1">
        <v>100</v>
      </c>
      <c r="B3" s="1">
        <v>0.94</v>
      </c>
      <c r="C3" s="2">
        <f>$E$2-B3</f>
        <v>0.14000000000000012</v>
      </c>
      <c r="D3" s="2">
        <f t="shared" ref="D3:D6" si="0">0.01*SQRT(2)</f>
        <v>1.4142135623730952E-2</v>
      </c>
    </row>
    <row r="4" spans="1:7">
      <c r="A4" s="1">
        <v>120</v>
      </c>
      <c r="B4" s="1">
        <v>0.91</v>
      </c>
      <c r="C4" s="2">
        <f>$E$2-B4</f>
        <v>0.17000000000000004</v>
      </c>
      <c r="D4" s="2">
        <f t="shared" si="0"/>
        <v>1.4142135623730952E-2</v>
      </c>
    </row>
    <row r="5" spans="1:7">
      <c r="A5" s="1">
        <v>150</v>
      </c>
      <c r="B5" s="1">
        <v>0.87</v>
      </c>
      <c r="C5" s="2">
        <f>$E$2-B5</f>
        <v>0.21000000000000008</v>
      </c>
      <c r="D5" s="2">
        <f t="shared" si="0"/>
        <v>1.4142135623730952E-2</v>
      </c>
      <c r="E5" s="2"/>
    </row>
    <row r="6" spans="1:7">
      <c r="A6" s="1">
        <v>200</v>
      </c>
      <c r="B6" s="1">
        <v>0.8</v>
      </c>
      <c r="C6" s="2">
        <f>$E$2-B6</f>
        <v>0.28000000000000003</v>
      </c>
      <c r="D6" s="2">
        <f t="shared" si="0"/>
        <v>1.4142135623730952E-2</v>
      </c>
      <c r="E6" s="2"/>
    </row>
    <row r="7" spans="1:7">
      <c r="D7" s="2"/>
      <c r="E7" s="2"/>
      <c r="F7" s="2"/>
    </row>
    <row r="8" spans="1:7">
      <c r="D8" s="2"/>
      <c r="E8" s="2"/>
      <c r="F8" s="2"/>
      <c r="G8" s="15"/>
    </row>
    <row r="9" spans="1:7">
      <c r="D9" s="2"/>
      <c r="E9" s="2"/>
      <c r="F9" s="2"/>
    </row>
    <row r="10" spans="1:7">
      <c r="D10" s="2"/>
      <c r="E10" s="2"/>
      <c r="F10" s="2"/>
    </row>
  </sheetData>
  <autoFilter ref="A1:G1" xr:uid="{76874985-411F-489E-91EA-3A60FA49533E}">
    <filterColumn colId="0">
      <filters>
        <filter val="m[g]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B29" sqref="B29"/>
    </sheetView>
  </sheetViews>
  <sheetFormatPr defaultRowHeight="14.25"/>
  <cols>
    <col min="1" max="1" width="16.265625" customWidth="1"/>
  </cols>
  <sheetData>
    <row r="1" spans="1:6" ht="26.25">
      <c r="A1" s="2" t="s">
        <v>0</v>
      </c>
      <c r="B1" s="2" t="s">
        <v>1</v>
      </c>
      <c r="C1" s="2" t="s">
        <v>2</v>
      </c>
      <c r="D1" s="2" t="s">
        <v>3</v>
      </c>
      <c r="E1" s="2" t="s">
        <v>11</v>
      </c>
    </row>
    <row r="2" spans="1:6">
      <c r="A2" s="1">
        <v>100</v>
      </c>
      <c r="B2" s="1">
        <v>1.25</v>
      </c>
      <c r="C2" s="2">
        <f>$E$2-B2</f>
        <v>2.0000000000000018E-2</v>
      </c>
      <c r="D2" s="2">
        <f>0.01*SQRT(2)</f>
        <v>1.4142135623730952E-2</v>
      </c>
      <c r="E2" s="1">
        <v>1.27</v>
      </c>
    </row>
    <row r="3" spans="1:6">
      <c r="A3" s="1">
        <v>200</v>
      </c>
      <c r="B3" s="1">
        <v>1.23</v>
      </c>
      <c r="C3" s="2">
        <f t="shared" ref="C3:C6" si="0">$E$2-B3</f>
        <v>4.0000000000000036E-2</v>
      </c>
      <c r="D3" s="2">
        <f t="shared" ref="D3:D6" si="1">0.01*SQRT(2)</f>
        <v>1.4142135623730952E-2</v>
      </c>
      <c r="E3" s="2"/>
    </row>
    <row r="4" spans="1:6">
      <c r="A4" s="1">
        <v>500</v>
      </c>
      <c r="B4" s="1">
        <v>1.18</v>
      </c>
      <c r="C4" s="2">
        <f t="shared" si="0"/>
        <v>9.000000000000008E-2</v>
      </c>
      <c r="D4" s="2">
        <f t="shared" si="1"/>
        <v>1.4142135623730952E-2</v>
      </c>
      <c r="E4" s="2"/>
    </row>
    <row r="5" spans="1:6">
      <c r="A5" s="1">
        <v>700</v>
      </c>
      <c r="B5" s="1">
        <v>1.1499999999999999</v>
      </c>
      <c r="C5" s="2">
        <f t="shared" si="0"/>
        <v>0.12000000000000011</v>
      </c>
      <c r="D5" s="2">
        <f t="shared" si="1"/>
        <v>1.4142135623730952E-2</v>
      </c>
      <c r="E5" s="2"/>
    </row>
    <row r="6" spans="1:6">
      <c r="A6" s="1">
        <v>900</v>
      </c>
      <c r="B6" s="1">
        <v>1.1200000000000001</v>
      </c>
      <c r="C6" s="2">
        <f t="shared" si="0"/>
        <v>0.14999999999999991</v>
      </c>
      <c r="D6" s="2">
        <f t="shared" si="1"/>
        <v>1.4142135623730952E-2</v>
      </c>
      <c r="E6" s="2"/>
    </row>
    <row r="7" spans="1:6">
      <c r="A7" s="1">
        <v>1000</v>
      </c>
      <c r="B7" s="1">
        <v>1.1000000000000001</v>
      </c>
      <c r="C7" s="2">
        <f>$E$2-B7</f>
        <v>0.16999999999999993</v>
      </c>
      <c r="D7" s="2">
        <f>0.01*SQRT(2)</f>
        <v>1.4142135623730952E-2</v>
      </c>
      <c r="E7" s="2"/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opLeftCell="A122" workbookViewId="0">
      <selection activeCell="H16" sqref="H16"/>
    </sheetView>
  </sheetViews>
  <sheetFormatPr defaultRowHeight="14.25"/>
  <sheetData>
    <row r="1" spans="1:7" ht="39">
      <c r="A1" s="2" t="s">
        <v>17</v>
      </c>
      <c r="B1" s="2" t="s">
        <v>16</v>
      </c>
      <c r="C1" t="s">
        <v>18</v>
      </c>
      <c r="D1" t="s">
        <v>19</v>
      </c>
      <c r="E1" s="2" t="s">
        <v>20</v>
      </c>
      <c r="F1" s="2" t="s">
        <v>21</v>
      </c>
      <c r="G1" s="1">
        <v>1.1299999999999999</v>
      </c>
    </row>
    <row r="2" spans="1:7">
      <c r="A2" s="2"/>
      <c r="B2" s="1">
        <v>1.1200000000000001</v>
      </c>
      <c r="C2">
        <f t="shared" ref="C2:C65" si="0">B2-$G$1</f>
        <v>-9.9999999999997868E-3</v>
      </c>
      <c r="D2" s="1">
        <v>0</v>
      </c>
      <c r="E2" s="1">
        <v>0</v>
      </c>
      <c r="F2" s="1">
        <v>0.86</v>
      </c>
    </row>
    <row r="3" spans="1:7">
      <c r="A3" s="1">
        <v>0</v>
      </c>
      <c r="B3" s="1">
        <v>1.1200000000000001</v>
      </c>
      <c r="C3">
        <f t="shared" si="0"/>
        <v>-9.9999999999997868E-3</v>
      </c>
      <c r="D3" s="1">
        <v>0.02</v>
      </c>
      <c r="E3" s="1">
        <v>0.03</v>
      </c>
      <c r="F3" s="1">
        <v>0.57999999999999996</v>
      </c>
    </row>
    <row r="4" spans="1:7">
      <c r="A4" s="1">
        <v>0.03</v>
      </c>
      <c r="B4" s="1">
        <v>1.1200000000000001</v>
      </c>
      <c r="C4">
        <f t="shared" si="0"/>
        <v>-9.9999999999997868E-3</v>
      </c>
      <c r="D4" s="1">
        <v>0.04</v>
      </c>
      <c r="E4" s="1">
        <v>0.04</v>
      </c>
      <c r="F4" s="1">
        <v>0.41</v>
      </c>
    </row>
    <row r="5" spans="1:7">
      <c r="A5" s="1">
        <v>0.04</v>
      </c>
      <c r="B5" s="1">
        <v>1.1200000000000001</v>
      </c>
      <c r="C5">
        <f t="shared" si="0"/>
        <v>-9.9999999999997868E-3</v>
      </c>
      <c r="D5" s="1">
        <v>0.06</v>
      </c>
      <c r="E5" s="1">
        <v>0.05</v>
      </c>
      <c r="F5" s="1">
        <v>0.33</v>
      </c>
    </row>
    <row r="6" spans="1:7">
      <c r="A6" s="1">
        <v>0.05</v>
      </c>
      <c r="B6" s="1">
        <v>1.1200000000000001</v>
      </c>
      <c r="C6">
        <f t="shared" si="0"/>
        <v>-9.9999999999997868E-3</v>
      </c>
      <c r="D6" s="1">
        <v>0.08</v>
      </c>
      <c r="E6" s="1">
        <v>0.05</v>
      </c>
      <c r="F6" s="1">
        <v>0.3</v>
      </c>
    </row>
    <row r="7" spans="1:7">
      <c r="A7" s="1">
        <v>0.05</v>
      </c>
      <c r="B7" s="1">
        <v>1.1299999999999999</v>
      </c>
      <c r="C7">
        <f t="shared" si="0"/>
        <v>0</v>
      </c>
      <c r="D7" s="1">
        <v>0.1</v>
      </c>
      <c r="E7" s="1">
        <v>0.06</v>
      </c>
      <c r="F7" s="1">
        <v>0.24</v>
      </c>
    </row>
    <row r="8" spans="1:7">
      <c r="A8" s="1">
        <v>0.06</v>
      </c>
      <c r="B8" s="1">
        <v>1.1299999999999999</v>
      </c>
      <c r="C8">
        <f t="shared" si="0"/>
        <v>0</v>
      </c>
      <c r="D8" s="1">
        <v>0.12</v>
      </c>
      <c r="E8" s="1">
        <v>7.0000000000000007E-2</v>
      </c>
      <c r="F8" s="1">
        <v>0.15</v>
      </c>
    </row>
    <row r="9" spans="1:7">
      <c r="A9" s="1">
        <v>7.0000000000000007E-2</v>
      </c>
      <c r="B9" s="1">
        <v>1.1299999999999999</v>
      </c>
      <c r="C9">
        <f t="shared" si="0"/>
        <v>0</v>
      </c>
      <c r="D9" s="1">
        <v>0.14000000000000001</v>
      </c>
      <c r="E9" s="1">
        <v>7.0000000000000007E-2</v>
      </c>
      <c r="F9" s="1">
        <v>0.03</v>
      </c>
    </row>
    <row r="10" spans="1:7">
      <c r="A10" s="1">
        <v>7.0000000000000007E-2</v>
      </c>
      <c r="B10" s="1">
        <v>1.1299999999999999</v>
      </c>
      <c r="C10">
        <f t="shared" si="0"/>
        <v>0</v>
      </c>
      <c r="D10" s="1">
        <v>0.16</v>
      </c>
      <c r="E10" s="1">
        <v>7.0000000000000007E-2</v>
      </c>
      <c r="F10" s="1">
        <v>-0.08</v>
      </c>
    </row>
    <row r="11" spans="1:7">
      <c r="A11" s="1">
        <v>7.0000000000000007E-2</v>
      </c>
      <c r="B11" s="1">
        <v>1.1299999999999999</v>
      </c>
      <c r="C11">
        <f t="shared" si="0"/>
        <v>0</v>
      </c>
      <c r="D11" s="1">
        <v>0.18</v>
      </c>
      <c r="E11" s="1">
        <v>7.0000000000000007E-2</v>
      </c>
      <c r="F11" s="1">
        <v>-0.18</v>
      </c>
    </row>
    <row r="12" spans="1:7">
      <c r="A12" s="1">
        <v>7.0000000000000007E-2</v>
      </c>
      <c r="B12" s="1">
        <v>1.1299999999999999</v>
      </c>
      <c r="C12">
        <f t="shared" si="0"/>
        <v>0</v>
      </c>
      <c r="D12" s="1">
        <v>0.2</v>
      </c>
      <c r="E12" s="1">
        <v>7.0000000000000007E-2</v>
      </c>
      <c r="F12" s="1">
        <v>-0.31</v>
      </c>
    </row>
    <row r="13" spans="1:7">
      <c r="A13" s="1">
        <v>7.0000000000000007E-2</v>
      </c>
      <c r="B13" s="1">
        <v>1.1299999999999999</v>
      </c>
      <c r="C13">
        <f t="shared" si="0"/>
        <v>0</v>
      </c>
      <c r="D13" s="1">
        <v>0.22</v>
      </c>
      <c r="E13" s="1">
        <v>0.06</v>
      </c>
      <c r="F13" s="1">
        <v>-0.46</v>
      </c>
    </row>
    <row r="14" spans="1:7">
      <c r="A14" s="1">
        <v>0.06</v>
      </c>
      <c r="B14" s="1">
        <v>1.1299999999999999</v>
      </c>
      <c r="C14">
        <f t="shared" si="0"/>
        <v>0</v>
      </c>
      <c r="D14" s="1">
        <v>0.24</v>
      </c>
      <c r="E14" s="1">
        <v>0.06</v>
      </c>
      <c r="F14" s="1">
        <v>-0.53</v>
      </c>
    </row>
    <row r="15" spans="1:7">
      <c r="A15" s="1">
        <v>0.06</v>
      </c>
      <c r="B15" s="1">
        <v>1.1399999999999999</v>
      </c>
      <c r="C15">
        <f t="shared" si="0"/>
        <v>1.0000000000000009E-2</v>
      </c>
      <c r="D15" s="1">
        <v>0.26</v>
      </c>
      <c r="E15" s="1">
        <v>0.04</v>
      </c>
      <c r="F15" s="1">
        <v>-0.51</v>
      </c>
    </row>
    <row r="16" spans="1:7">
      <c r="A16" s="1">
        <v>0.04</v>
      </c>
      <c r="B16" s="1">
        <v>1.1399999999999999</v>
      </c>
      <c r="C16">
        <f t="shared" si="0"/>
        <v>1.0000000000000009E-2</v>
      </c>
      <c r="D16" s="1">
        <v>0.28000000000000003</v>
      </c>
      <c r="E16" s="1">
        <v>0.03</v>
      </c>
      <c r="F16" s="1">
        <v>-0.5</v>
      </c>
    </row>
    <row r="17" spans="1:6">
      <c r="A17" s="1">
        <v>0.03</v>
      </c>
      <c r="B17" s="1">
        <v>1.1399999999999999</v>
      </c>
      <c r="C17">
        <f t="shared" si="0"/>
        <v>1.0000000000000009E-2</v>
      </c>
      <c r="D17" s="1">
        <v>0.3</v>
      </c>
      <c r="E17" s="1">
        <v>0.02</v>
      </c>
      <c r="F17" s="1">
        <v>-0.56000000000000005</v>
      </c>
    </row>
    <row r="18" spans="1:6">
      <c r="A18" s="1">
        <v>0.02</v>
      </c>
      <c r="B18" s="1">
        <v>1.1399999999999999</v>
      </c>
      <c r="C18">
        <f t="shared" si="0"/>
        <v>1.0000000000000009E-2</v>
      </c>
      <c r="D18" s="1">
        <v>0.32</v>
      </c>
      <c r="E18" s="1">
        <v>0.02</v>
      </c>
      <c r="F18" s="1">
        <v>-0.65</v>
      </c>
    </row>
    <row r="19" spans="1:6">
      <c r="A19" s="1">
        <v>0.02</v>
      </c>
      <c r="B19" s="1">
        <v>1.1399999999999999</v>
      </c>
      <c r="C19">
        <f t="shared" si="0"/>
        <v>1.0000000000000009E-2</v>
      </c>
      <c r="D19" s="1">
        <v>0.34</v>
      </c>
      <c r="E19" s="1">
        <v>0</v>
      </c>
      <c r="F19" s="1">
        <v>-0.68</v>
      </c>
    </row>
    <row r="20" spans="1:6">
      <c r="A20" s="1">
        <v>0</v>
      </c>
      <c r="B20" s="1">
        <v>1.1399999999999999</v>
      </c>
      <c r="C20">
        <f t="shared" si="0"/>
        <v>1.0000000000000009E-2</v>
      </c>
      <c r="D20" s="1">
        <v>0.36</v>
      </c>
      <c r="E20" s="1">
        <v>-0.01</v>
      </c>
      <c r="F20" s="1">
        <v>-0.61</v>
      </c>
    </row>
    <row r="21" spans="1:6">
      <c r="A21" s="1">
        <v>-0.01</v>
      </c>
      <c r="B21" s="1">
        <v>1.1399999999999999</v>
      </c>
      <c r="C21">
        <f t="shared" si="0"/>
        <v>1.0000000000000009E-2</v>
      </c>
      <c r="D21" s="1">
        <v>0.38</v>
      </c>
      <c r="E21" s="1">
        <v>-0.03</v>
      </c>
      <c r="F21" s="1">
        <v>-0.52</v>
      </c>
    </row>
    <row r="22" spans="1:6">
      <c r="A22" s="1">
        <v>-0.03</v>
      </c>
      <c r="B22" s="1">
        <v>1.1399999999999999</v>
      </c>
      <c r="C22">
        <f t="shared" si="0"/>
        <v>1.0000000000000009E-2</v>
      </c>
      <c r="D22" s="1">
        <v>0.4</v>
      </c>
      <c r="E22" s="1">
        <v>-0.04</v>
      </c>
      <c r="F22" s="1">
        <v>-0.43</v>
      </c>
    </row>
    <row r="23" spans="1:6">
      <c r="A23" s="1">
        <v>-0.04</v>
      </c>
      <c r="B23" s="1">
        <v>1.1399999999999999</v>
      </c>
      <c r="C23">
        <f t="shared" si="0"/>
        <v>1.0000000000000009E-2</v>
      </c>
      <c r="D23" s="1">
        <v>0.42</v>
      </c>
      <c r="E23" s="1">
        <v>-0.05</v>
      </c>
      <c r="F23" s="1">
        <v>-0.37</v>
      </c>
    </row>
    <row r="24" spans="1:6">
      <c r="A24" s="1">
        <v>-0.05</v>
      </c>
      <c r="B24" s="1">
        <v>1.1399999999999999</v>
      </c>
      <c r="C24">
        <f t="shared" si="0"/>
        <v>1.0000000000000009E-2</v>
      </c>
      <c r="D24" s="1">
        <v>0.44</v>
      </c>
      <c r="E24" s="1">
        <v>-0.05</v>
      </c>
      <c r="F24" s="1">
        <v>-0.3</v>
      </c>
    </row>
    <row r="25" spans="1:6">
      <c r="A25" s="1">
        <v>-0.05</v>
      </c>
      <c r="B25" s="1">
        <v>1.1399999999999999</v>
      </c>
      <c r="C25">
        <f t="shared" si="0"/>
        <v>1.0000000000000009E-2</v>
      </c>
      <c r="D25" s="1">
        <v>0.46</v>
      </c>
      <c r="E25" s="1">
        <v>-0.06</v>
      </c>
      <c r="F25" s="1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7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7">
        <v>4.66E-4</v>
      </c>
      <c r="F169" s="1">
        <v>-0.6</v>
      </c>
    </row>
    <row r="170" spans="1:6">
      <c r="A170" s="17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7">
        <v>2.9799999999999998E-4</v>
      </c>
      <c r="F188" s="1">
        <v>0.66</v>
      </c>
    </row>
    <row r="189" spans="1:6">
      <c r="A189" s="17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7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7">
        <v>-1.15E-5</v>
      </c>
      <c r="F244" s="1">
        <v>-0.43</v>
      </c>
    </row>
    <row r="245" spans="1:6">
      <c r="A245" s="17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7">
        <v>2.9700000000000001E-4</v>
      </c>
      <c r="F300" s="1">
        <v>0.69</v>
      </c>
    </row>
    <row r="301" spans="1:6">
      <c r="A301" s="17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7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7">
        <v>7.0299999999999996E-4</v>
      </c>
      <c r="F319" s="1">
        <v>-0.56999999999999995</v>
      </c>
    </row>
    <row r="320" spans="1:6">
      <c r="A320" s="17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7">
        <v>9.9500000000000001E-4</v>
      </c>
      <c r="F338" s="1">
        <v>0.49</v>
      </c>
    </row>
    <row r="339" spans="1:6">
      <c r="A339" s="17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2</vt:lpstr>
      <vt:lpstr>Misure statiche 3</vt:lpstr>
      <vt:lpstr>Misure dinamiche</vt:lpstr>
      <vt:lpstr>Molle in serie</vt:lpstr>
      <vt:lpstr>Molle in parallelo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2026-05-10T13:03:24Z</dcterms:modified>
</cp:coreProperties>
</file>