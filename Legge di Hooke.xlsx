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758" documentId="8_{776634F0-C4C9-4588-BBA4-07B3E3D5FCB7}" xr6:coauthVersionLast="47" xr6:coauthVersionMax="47" xr10:uidLastSave="{4578ED43-53D4-40A0-AA14-F53BC5E451A9}"/>
  <bookViews>
    <workbookView xWindow="-98" yWindow="-98" windowWidth="21795" windowHeight="12975" firstSheet="4" activeTab="6" xr2:uid="{90936311-A4D2-4EF7-9615-E94103A7D1D9}"/>
  </bookViews>
  <sheets>
    <sheet name="Misure statiche 1" sheetId="1" r:id="rId1"/>
    <sheet name="Misure statiche (molla uguale)" sheetId="4" r:id="rId2"/>
    <sheet name="Misure statiche (molla diversa)" sheetId="5" r:id="rId3"/>
    <sheet name="Misure dinamiche" sheetId="2" r:id="rId4"/>
    <sheet name="Molle in serie (statica)" sheetId="3" r:id="rId5"/>
    <sheet name="Molle in parallelo (statica)" sheetId="6" r:id="rId6"/>
    <sheet name="Energia " sheetId="8" r:id="rId7"/>
    <sheet name="Misure dinamiche 2" sheetId="9" r:id="rId8"/>
  </sheets>
  <definedNames>
    <definedName name="_xlnm._FilterDatabase" localSheetId="4" hidden="1">'Molle in serie (statica)'!$A$1:$G$6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8" i="9" l="1"/>
  <c r="G9" i="9" s="1"/>
  <c r="F8" i="9"/>
  <c r="F9" i="9" s="1"/>
  <c r="E8" i="9"/>
  <c r="E9" i="9" s="1"/>
  <c r="D8" i="9"/>
  <c r="D9" i="9" s="1"/>
  <c r="C8" i="9"/>
  <c r="C9" i="9" s="1"/>
  <c r="B8" i="9"/>
  <c r="B9" i="9" s="1"/>
  <c r="H7" i="9"/>
  <c r="G7" i="9"/>
  <c r="F7" i="9"/>
  <c r="E7" i="9"/>
  <c r="D7" i="9"/>
  <c r="C7" i="9"/>
  <c r="B7" i="9"/>
  <c r="H6" i="9"/>
  <c r="H5" i="9"/>
  <c r="H4" i="9"/>
  <c r="H3" i="9"/>
  <c r="H2" i="9"/>
  <c r="H2" i="2"/>
  <c r="B7" i="2"/>
  <c r="C3" i="5"/>
  <c r="C2" i="5"/>
  <c r="C2" i="3"/>
  <c r="D2" i="3"/>
  <c r="C3" i="3"/>
  <c r="D3" i="3"/>
  <c r="C4" i="3"/>
  <c r="D4" i="3"/>
  <c r="C5" i="3"/>
  <c r="D5" i="3"/>
  <c r="C6" i="3"/>
  <c r="D6" i="3"/>
  <c r="D7" i="6"/>
  <c r="D6" i="6"/>
  <c r="D5" i="6"/>
  <c r="D4" i="6"/>
  <c r="D3" i="6"/>
  <c r="D2" i="6"/>
  <c r="C7" i="6"/>
  <c r="C6" i="6"/>
  <c r="C5" i="6"/>
  <c r="C4" i="6"/>
  <c r="C3" i="6"/>
  <c r="C2" i="6"/>
  <c r="H7" i="2"/>
  <c r="H6" i="2"/>
  <c r="H5" i="2"/>
  <c r="H4" i="2"/>
  <c r="H3" i="2"/>
  <c r="B8" i="2"/>
  <c r="B9" i="2" s="1"/>
  <c r="D3" i="5"/>
  <c r="D4" i="5"/>
  <c r="D5" i="5"/>
  <c r="D6" i="5"/>
  <c r="D2" i="5"/>
  <c r="C4" i="5"/>
  <c r="C5" i="5"/>
  <c r="C6" i="5"/>
  <c r="C8" i="2"/>
  <c r="C9" i="2" s="1"/>
  <c r="E8" i="2"/>
  <c r="E9" i="2" s="1"/>
  <c r="F8" i="2"/>
  <c r="F9" i="2" s="1"/>
  <c r="G8" i="2"/>
  <c r="G9" i="2" s="1"/>
  <c r="C7" i="2"/>
  <c r="E7" i="2"/>
  <c r="F7" i="2"/>
  <c r="G7" i="2"/>
  <c r="C3" i="4"/>
  <c r="C4" i="4"/>
  <c r="C5" i="4"/>
  <c r="C6" i="4"/>
  <c r="C2" i="4"/>
  <c r="D7" i="2"/>
  <c r="D8" i="2"/>
  <c r="D9" i="2" l="1"/>
</calcChain>
</file>

<file path=xl/sharedStrings.xml><?xml version="1.0" encoding="utf-8"?>
<sst xmlns="http://schemas.openxmlformats.org/spreadsheetml/2006/main" count="44" uniqueCount="16">
  <si>
    <t>d [m] senza pesi</t>
  </si>
  <si>
    <t>Media</t>
  </si>
  <si>
    <t>Dev.std</t>
  </si>
  <si>
    <t>Dev.std.med</t>
  </si>
  <si>
    <t>m[kg]</t>
  </si>
  <si>
    <t>allungamento [m]</t>
  </si>
  <si>
    <t>Masse (kg)</t>
  </si>
  <si>
    <t>Masse corrette(Kg)</t>
  </si>
  <si>
    <t>Massa molla (kg)</t>
  </si>
  <si>
    <t>posizione [m]</t>
  </si>
  <si>
    <t>incertezza su all. [m]</t>
  </si>
  <si>
    <t>incertezza su d [m]</t>
  </si>
  <si>
    <t>Masse (Kg)</t>
  </si>
  <si>
    <t xml:space="preserve">Time (s) </t>
  </si>
  <si>
    <t>Position (m)</t>
  </si>
  <si>
    <t>Velocity (m/s)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</si>
</sst>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Aptos Narrow"/>
      <family val="2"/>
      <scheme val="minor"/>
    </font>
    <font>
      <u/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 applyAlignment="1">
      <alignment horizontal="right" wrapText="1"/>
    </xf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2" borderId="1" xfId="0" applyFill="1" applyBorder="1"/>
    <xf numFmtId="0" fontId="0" fillId="2" borderId="4" xfId="0" applyFill="1" applyBorder="1"/>
    <xf numFmtId="0" fontId="0" fillId="2" borderId="6" xfId="0" applyFill="1" applyBorder="1"/>
    <xf numFmtId="0" fontId="0" fillId="0" borderId="4" xfId="0" applyBorder="1" applyAlignment="1">
      <alignment vertical="center"/>
    </xf>
    <xf numFmtId="0" fontId="5" fillId="0" borderId="0" xfId="0" applyFont="1"/>
    <xf numFmtId="0" fontId="6" fillId="0" borderId="0" xfId="0" applyFont="1" applyAlignment="1">
      <alignment vertical="center"/>
    </xf>
    <xf numFmtId="11" fontId="1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0" fillId="3" borderId="2" xfId="0" applyFill="1" applyBorder="1"/>
    <xf numFmtId="0" fontId="0" fillId="3" borderId="3" xfId="0" applyFill="1" applyBorder="1"/>
    <xf numFmtId="0" fontId="0" fillId="4" borderId="1" xfId="0" applyFill="1" applyBorder="1"/>
    <xf numFmtId="0" fontId="0" fillId="0" borderId="3" xfId="0" applyBorder="1"/>
    <xf numFmtId="0" fontId="0" fillId="0" borderId="9" xfId="0" applyBorder="1"/>
    <xf numFmtId="0" fontId="0" fillId="0" borderId="6" xfId="0" applyBorder="1"/>
    <xf numFmtId="0" fontId="0" fillId="4" borderId="3" xfId="0" applyFill="1" applyBorder="1"/>
    <xf numFmtId="0" fontId="1" fillId="0" borderId="4" xfId="0" applyFont="1" applyBorder="1" applyAlignment="1">
      <alignment horizontal="right" wrapText="1"/>
    </xf>
    <xf numFmtId="0" fontId="1" fillId="0" borderId="6" xfId="0" applyFont="1" applyBorder="1" applyAlignment="1">
      <alignment horizontal="right" wrapText="1"/>
    </xf>
    <xf numFmtId="0" fontId="1" fillId="0" borderId="7" xfId="0" applyFont="1" applyBorder="1" applyAlignment="1">
      <alignment horizontal="right" wrapText="1"/>
    </xf>
    <xf numFmtId="0" fontId="1" fillId="0" borderId="7" xfId="0" applyFont="1" applyBorder="1" applyAlignment="1">
      <alignment wrapText="1"/>
    </xf>
    <xf numFmtId="0" fontId="1" fillId="0" borderId="5" xfId="0" applyFont="1" applyBorder="1" applyAlignment="1">
      <alignment horizontal="right" wrapText="1"/>
    </xf>
    <xf numFmtId="0" fontId="2" fillId="4" borderId="1" xfId="0" applyFont="1" applyFill="1" applyBorder="1"/>
    <xf numFmtId="0" fontId="2" fillId="4" borderId="2" xfId="0" applyFont="1" applyFill="1" applyBorder="1"/>
    <xf numFmtId="0" fontId="2" fillId="4" borderId="3" xfId="0" applyFont="1" applyFill="1" applyBorder="1"/>
    <xf numFmtId="0" fontId="2" fillId="4" borderId="10" xfId="0" applyFont="1" applyFill="1" applyBorder="1"/>
    <xf numFmtId="0" fontId="1" fillId="0" borderId="1" xfId="0" applyFont="1" applyBorder="1" applyAlignment="1">
      <alignment horizontal="right" wrapText="1"/>
    </xf>
    <xf numFmtId="0" fontId="1" fillId="0" borderId="2" xfId="0" applyFont="1" applyBorder="1" applyAlignment="1">
      <alignment horizontal="right" wrapText="1"/>
    </xf>
    <xf numFmtId="0" fontId="1" fillId="0" borderId="2" xfId="0" applyFont="1" applyBorder="1" applyAlignment="1">
      <alignment wrapText="1"/>
    </xf>
    <xf numFmtId="0" fontId="1" fillId="0" borderId="12" xfId="0" applyFont="1" applyBorder="1" applyAlignment="1">
      <alignment horizontal="right" wrapText="1"/>
    </xf>
    <xf numFmtId="0" fontId="1" fillId="0" borderId="13" xfId="0" applyFont="1" applyBorder="1" applyAlignment="1">
      <alignment horizontal="right" wrapText="1"/>
    </xf>
    <xf numFmtId="0" fontId="1" fillId="0" borderId="8" xfId="0" applyFont="1" applyBorder="1" applyAlignment="1">
      <alignment horizontal="right" wrapText="1"/>
    </xf>
    <xf numFmtId="2" fontId="1" fillId="0" borderId="11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horizontal="right" wrapText="1"/>
    </xf>
    <xf numFmtId="2" fontId="1" fillId="0" borderId="5" xfId="0" applyNumberFormat="1" applyFont="1" applyBorder="1" applyAlignment="1">
      <alignment horizontal="right" wrapText="1"/>
    </xf>
    <xf numFmtId="2" fontId="1" fillId="0" borderId="9" xfId="0" applyNumberFormat="1" applyFont="1" applyBorder="1" applyAlignment="1">
      <alignment horizontal="right" wrapText="1"/>
    </xf>
    <xf numFmtId="2" fontId="1" fillId="0" borderId="3" xfId="0" applyNumberFormat="1" applyFont="1" applyBorder="1" applyAlignment="1">
      <alignment wrapText="1"/>
    </xf>
    <xf numFmtId="2" fontId="1" fillId="0" borderId="5" xfId="0" applyNumberFormat="1" applyFont="1" applyBorder="1" applyAlignment="1">
      <alignment wrapText="1"/>
    </xf>
    <xf numFmtId="2" fontId="1" fillId="0" borderId="9" xfId="0" applyNumberFormat="1" applyFont="1" applyBorder="1" applyAlignment="1">
      <alignment wrapText="1"/>
    </xf>
    <xf numFmtId="2" fontId="0" fillId="0" borderId="2" xfId="0" applyNumberFormat="1" applyBorder="1"/>
    <xf numFmtId="2" fontId="0" fillId="0" borderId="3" xfId="0" applyNumberFormat="1" applyBorder="1"/>
    <xf numFmtId="2" fontId="0" fillId="0" borderId="7" xfId="0" applyNumberFormat="1" applyBorder="1"/>
    <xf numFmtId="2" fontId="0" fillId="0" borderId="9" xfId="0" applyNumberFormat="1" applyBorder="1"/>
    <xf numFmtId="2" fontId="0" fillId="0" borderId="0" xfId="0" applyNumberFormat="1"/>
    <xf numFmtId="2" fontId="0" fillId="0" borderId="5" xfId="0" applyNumberFormat="1" applyBorder="1"/>
    <xf numFmtId="164" fontId="0" fillId="0" borderId="4" xfId="0" applyNumberFormat="1" applyBorder="1"/>
    <xf numFmtId="164" fontId="0" fillId="0" borderId="6" xfId="0" applyNumberFormat="1" applyBorder="1"/>
    <xf numFmtId="0" fontId="0" fillId="0" borderId="0" xfId="0" applyFont="1"/>
    <xf numFmtId="0" fontId="1" fillId="3" borderId="0" xfId="0" applyFont="1" applyFill="1" applyAlignment="1">
      <alignment wrapText="1"/>
    </xf>
    <xf numFmtId="0" fontId="0" fillId="3" borderId="0" xfId="0" applyFont="1" applyFill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8C50C-6C33-4502-AA5F-6A538FA3A440}">
  <dimension ref="A1:E11"/>
  <sheetViews>
    <sheetView workbookViewId="0">
      <selection activeCell="D2" sqref="D2:D11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3.5" customHeight="1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5" ht="14.65" thickBot="1">
      <c r="A2" s="32">
        <v>0.05</v>
      </c>
      <c r="B2" s="33">
        <v>1.24</v>
      </c>
      <c r="C2" s="33">
        <v>0.02</v>
      </c>
      <c r="D2" s="39">
        <v>1.4142135619999999E-2</v>
      </c>
      <c r="E2" s="35">
        <v>1.26</v>
      </c>
    </row>
    <row r="3" spans="1:5" ht="14.65" thickBot="1">
      <c r="A3" s="23">
        <v>0.1</v>
      </c>
      <c r="B3" s="1">
        <v>1.23</v>
      </c>
      <c r="C3" s="1">
        <v>0.03</v>
      </c>
      <c r="D3" s="40">
        <v>1.4142135619999999E-2</v>
      </c>
      <c r="E3" s="30" t="s">
        <v>11</v>
      </c>
    </row>
    <row r="4" spans="1:5" ht="14.65" thickBot="1">
      <c r="A4" s="23">
        <v>0.2</v>
      </c>
      <c r="B4" s="1">
        <v>1.2</v>
      </c>
      <c r="C4" s="1">
        <v>0.06</v>
      </c>
      <c r="D4" s="40">
        <v>1.4142135619999999E-2</v>
      </c>
      <c r="E4" s="35">
        <v>0.01</v>
      </c>
    </row>
    <row r="5" spans="1:5">
      <c r="A5" s="23">
        <v>0.3</v>
      </c>
      <c r="B5" s="1">
        <v>1.1599999999999999</v>
      </c>
      <c r="C5" s="1">
        <v>0.1</v>
      </c>
      <c r="D5" s="40">
        <v>1.4142135619999999E-2</v>
      </c>
      <c r="E5" s="2"/>
    </row>
    <row r="6" spans="1:5">
      <c r="A6" s="23">
        <v>0.4</v>
      </c>
      <c r="B6" s="1">
        <v>1.1299999999999999</v>
      </c>
      <c r="C6" s="1">
        <v>0.13</v>
      </c>
      <c r="D6" s="40">
        <v>1.4142135619999999E-2</v>
      </c>
      <c r="E6" s="2"/>
    </row>
    <row r="7" spans="1:5">
      <c r="A7" s="23">
        <v>0.5</v>
      </c>
      <c r="B7" s="1">
        <v>1.1000000000000001</v>
      </c>
      <c r="C7" s="1">
        <v>0.16</v>
      </c>
      <c r="D7" s="40">
        <v>1.4142135619999999E-2</v>
      </c>
      <c r="E7" s="2"/>
    </row>
    <row r="8" spans="1:5">
      <c r="A8" s="23">
        <v>0.6</v>
      </c>
      <c r="B8" s="1">
        <v>1.07</v>
      </c>
      <c r="C8" s="1">
        <v>0.19</v>
      </c>
      <c r="D8" s="40">
        <v>1.4142135619999999E-2</v>
      </c>
      <c r="E8" s="2"/>
    </row>
    <row r="9" spans="1:5">
      <c r="A9" s="23">
        <v>0.7</v>
      </c>
      <c r="B9" s="1">
        <v>1.04</v>
      </c>
      <c r="C9" s="1">
        <v>0.22</v>
      </c>
      <c r="D9" s="40">
        <v>1.4142135619999999E-2</v>
      </c>
      <c r="E9" s="2"/>
    </row>
    <row r="10" spans="1:5">
      <c r="A10" s="23">
        <v>0.8</v>
      </c>
      <c r="B10" s="1">
        <v>1.01</v>
      </c>
      <c r="C10" s="1">
        <v>0.25</v>
      </c>
      <c r="D10" s="40">
        <v>1.4142135619999999E-2</v>
      </c>
      <c r="E10" s="2"/>
    </row>
    <row r="11" spans="1:5" ht="14.65" thickBot="1">
      <c r="A11" s="24">
        <v>0.9</v>
      </c>
      <c r="B11" s="25">
        <v>0.97</v>
      </c>
      <c r="C11" s="25">
        <v>0.28999999999999998</v>
      </c>
      <c r="D11" s="41">
        <v>1.4142135619999999E-2</v>
      </c>
      <c r="E1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F6068-CA78-42D8-919F-E852893B0BE9}">
  <dimension ref="A1:E11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5" ht="17.350000000000001" customHeight="1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5" ht="14.65" thickBot="1">
      <c r="A2" s="32">
        <v>0.1</v>
      </c>
      <c r="B2" s="33">
        <v>1.23</v>
      </c>
      <c r="C2" s="33">
        <f>$E$2-B2</f>
        <v>3.0000000000000027E-2</v>
      </c>
      <c r="D2" s="39">
        <v>1.4142135619999999E-2</v>
      </c>
      <c r="E2" s="36">
        <v>1.26</v>
      </c>
    </row>
    <row r="3" spans="1:5" ht="14.65" thickBot="1">
      <c r="A3" s="23">
        <v>0.2</v>
      </c>
      <c r="B3" s="1">
        <v>1.19</v>
      </c>
      <c r="C3" s="1">
        <f t="shared" ref="C3:C6" si="0">$E$2-B3</f>
        <v>7.0000000000000062E-2</v>
      </c>
      <c r="D3" s="40">
        <v>1.4142135619999999E-2</v>
      </c>
      <c r="E3" s="30" t="s">
        <v>11</v>
      </c>
    </row>
    <row r="4" spans="1:5" ht="14.65" thickBot="1">
      <c r="A4" s="23">
        <v>0.3</v>
      </c>
      <c r="B4" s="1">
        <v>1.1599999999999999</v>
      </c>
      <c r="C4" s="1">
        <f t="shared" si="0"/>
        <v>0.10000000000000009</v>
      </c>
      <c r="D4" s="40">
        <v>1.4142135619999999E-2</v>
      </c>
      <c r="E4" s="35">
        <v>0.01</v>
      </c>
    </row>
    <row r="5" spans="1:5">
      <c r="A5" s="23">
        <v>0.4</v>
      </c>
      <c r="B5" s="1">
        <v>1.1299999999999999</v>
      </c>
      <c r="C5" s="1">
        <f t="shared" si="0"/>
        <v>0.13000000000000012</v>
      </c>
      <c r="D5" s="40">
        <v>1.4142135619999999E-2</v>
      </c>
    </row>
    <row r="6" spans="1:5" ht="14.65" thickBot="1">
      <c r="A6" s="24">
        <v>0.5</v>
      </c>
      <c r="B6" s="25">
        <v>1.1000000000000001</v>
      </c>
      <c r="C6" s="25">
        <f t="shared" si="0"/>
        <v>0.15999999999999992</v>
      </c>
      <c r="D6" s="41">
        <v>1.4142135619999999E-2</v>
      </c>
    </row>
    <row r="7" spans="1:5">
      <c r="A7" s="2"/>
      <c r="B7" s="2"/>
    </row>
    <row r="8" spans="1:5">
      <c r="A8" s="2"/>
      <c r="B8" s="2"/>
    </row>
    <row r="9" spans="1:5">
      <c r="A9" s="2"/>
      <c r="B9" s="2"/>
    </row>
    <row r="10" spans="1:5">
      <c r="A10" s="2"/>
      <c r="B10" s="2"/>
    </row>
    <row r="11" spans="1:5">
      <c r="A11" s="2"/>
      <c r="B11" s="2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3E1A6-C7F4-44D4-A470-5AAD976904AA}">
  <dimension ref="A1:F7"/>
  <sheetViews>
    <sheetView workbookViewId="0">
      <selection activeCell="D2" sqref="D2:D6"/>
    </sheetView>
  </sheetViews>
  <sheetFormatPr defaultRowHeight="14.25"/>
  <cols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  <col min="6" max="6" width="14" bestFit="1" customWidth="1"/>
  </cols>
  <sheetData>
    <row r="1" spans="1:6" ht="14.65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6" ht="14.65" thickBot="1">
      <c r="A2" s="32">
        <v>0.05</v>
      </c>
      <c r="B2" s="33">
        <v>1.1100000000000001</v>
      </c>
      <c r="C2" s="34">
        <f>$E$2-B2</f>
        <v>5.9999999999999831E-2</v>
      </c>
      <c r="D2" s="42">
        <f>0.01*SQRT(2)</f>
        <v>1.4142135623730952E-2</v>
      </c>
      <c r="E2" s="37">
        <v>1.17</v>
      </c>
    </row>
    <row r="3" spans="1:6" ht="14.65" thickBot="1">
      <c r="A3" s="23">
        <v>7.0000000000000007E-2</v>
      </c>
      <c r="B3" s="1">
        <v>1.0900000000000001</v>
      </c>
      <c r="C3" s="2">
        <f>$E$2-B3</f>
        <v>7.9999999999999849E-2</v>
      </c>
      <c r="D3" s="43">
        <f t="shared" ref="D3:D6" si="0">0.01*SQRT(2)</f>
        <v>1.4142135623730952E-2</v>
      </c>
      <c r="E3" s="31" t="s">
        <v>11</v>
      </c>
      <c r="F3" s="2"/>
    </row>
    <row r="4" spans="1:6" ht="14.65" thickBot="1">
      <c r="A4" s="23">
        <v>0.1</v>
      </c>
      <c r="B4" s="1">
        <v>1.06</v>
      </c>
      <c r="C4" s="2">
        <f t="shared" ref="C4:C6" si="1">$E$2-B4</f>
        <v>0.10999999999999988</v>
      </c>
      <c r="D4" s="43">
        <f t="shared" si="0"/>
        <v>1.4142135623730952E-2</v>
      </c>
      <c r="E4" s="37">
        <v>0.01</v>
      </c>
      <c r="F4" s="2"/>
    </row>
    <row r="5" spans="1:6">
      <c r="A5" s="23">
        <v>0.15</v>
      </c>
      <c r="B5" s="1">
        <v>1.01</v>
      </c>
      <c r="C5" s="2">
        <f t="shared" si="1"/>
        <v>0.15999999999999992</v>
      </c>
      <c r="D5" s="43">
        <f t="shared" si="0"/>
        <v>1.4142135623730952E-2</v>
      </c>
      <c r="E5" s="2"/>
      <c r="F5" s="2"/>
    </row>
    <row r="6" spans="1:6" ht="14.65" thickBot="1">
      <c r="A6" s="24">
        <v>0.2</v>
      </c>
      <c r="B6" s="25">
        <v>0.95</v>
      </c>
      <c r="C6" s="26">
        <f t="shared" si="1"/>
        <v>0.21999999999999997</v>
      </c>
      <c r="D6" s="44">
        <f t="shared" si="0"/>
        <v>1.4142135623730952E-2</v>
      </c>
      <c r="E6" s="2"/>
      <c r="F6" s="2"/>
    </row>
    <row r="7" spans="1:6">
      <c r="D7" s="2"/>
      <c r="E7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02A27-EC46-4EB5-A087-5E047C481CB0}">
  <dimension ref="A1:L9"/>
  <sheetViews>
    <sheetView workbookViewId="0">
      <selection activeCell="H17" sqref="H17"/>
    </sheetView>
  </sheetViews>
  <sheetFormatPr defaultRowHeight="14.25"/>
  <cols>
    <col min="1" max="1" width="12" customWidth="1"/>
    <col min="2" max="4" width="11.265625" bestFit="1" customWidth="1"/>
    <col min="5" max="5" width="11.86328125" customWidth="1"/>
    <col min="6" max="7" width="11.265625" bestFit="1" customWidth="1"/>
    <col min="8" max="8" width="15.3984375" bestFit="1" customWidth="1"/>
    <col min="9" max="9" width="13.796875" bestFit="1" customWidth="1"/>
    <col min="12" max="12" width="22.3984375" customWidth="1"/>
  </cols>
  <sheetData>
    <row r="1" spans="1:12">
      <c r="A1" s="18" t="s">
        <v>6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7</v>
      </c>
      <c r="I1" s="22" t="s">
        <v>8</v>
      </c>
    </row>
    <row r="2" spans="1:12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1">
        <f>$B1+$I$2/3</f>
        <v>5.3766666666666671E-2</v>
      </c>
      <c r="I2" s="6">
        <v>1.1299999999999999E-2</v>
      </c>
      <c r="L2" s="13"/>
    </row>
    <row r="3" spans="1:12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1">
        <f>$C1+$I$2/3</f>
        <v>0.15376666666666666</v>
      </c>
      <c r="I3" s="6"/>
      <c r="L3" s="13"/>
    </row>
    <row r="4" spans="1:12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1">
        <f>$D1+$I$2/3</f>
        <v>0.25376666666666664</v>
      </c>
      <c r="I4" s="6"/>
      <c r="L4" s="13"/>
    </row>
    <row r="5" spans="1:12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1">
        <f>$E1+$I$2/3</f>
        <v>0.35376666666666662</v>
      </c>
      <c r="I5" s="6"/>
      <c r="L5" s="13"/>
    </row>
    <row r="6" spans="1:12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1">
        <f>$F1+$I$2/3</f>
        <v>0.45376666666666665</v>
      </c>
      <c r="I6" s="6"/>
      <c r="L6" s="13"/>
    </row>
    <row r="7" spans="1:12" ht="14.65" thickBot="1">
      <c r="A7" s="8" t="s">
        <v>1</v>
      </c>
      <c r="B7" s="45">
        <f>AVERAGE(B2:B6)</f>
        <v>24.260399999999997</v>
      </c>
      <c r="C7" s="45">
        <f>AVERAGE(C2:C6)</f>
        <v>14.568199999999999</v>
      </c>
      <c r="D7" s="45">
        <f>AVERAGE(D2:D6)</f>
        <v>11.264399999999998</v>
      </c>
      <c r="E7" s="45">
        <f t="shared" ref="E7:G7" si="0">AVERAGE(E2:E6)</f>
        <v>9.6117999999999988</v>
      </c>
      <c r="F7" s="45">
        <f t="shared" si="0"/>
        <v>8.3930000000000007</v>
      </c>
      <c r="G7" s="46">
        <f t="shared" si="0"/>
        <v>7.6345999999999989</v>
      </c>
      <c r="H7" s="52">
        <f>$G1+$I$2/3</f>
        <v>0.55376666666666674</v>
      </c>
      <c r="I7" s="20"/>
      <c r="L7" s="13"/>
    </row>
    <row r="8" spans="1:12">
      <c r="A8" s="9" t="s">
        <v>2</v>
      </c>
      <c r="B8" s="49">
        <f t="shared" ref="B8" si="1">_xlfn.STDEV.S(B2:B6)</f>
        <v>0.27715934045238261</v>
      </c>
      <c r="C8" s="49">
        <f>_xlfn.STDEV.S(C2:C6)</f>
        <v>6.7187796510973619E-2</v>
      </c>
      <c r="D8" s="49">
        <f>_xlfn.STDEV.S(D2:D6)</f>
        <v>5.1524751333703808E-2</v>
      </c>
      <c r="E8" s="49">
        <f>_xlfn.STDEV.S(E2:E6)</f>
        <v>2.2398660674245618E-2</v>
      </c>
      <c r="F8" s="49">
        <f>_xlfn.STDEV.S(F2:F6)</f>
        <v>1.0295630140987376E-2</v>
      </c>
      <c r="G8" s="50">
        <f>_xlfn.STDEV.S(G2:G6)</f>
        <v>4.1476499370125187E-2</v>
      </c>
    </row>
    <row r="9" spans="1:12" ht="14.65" thickBot="1">
      <c r="A9" s="10" t="s">
        <v>3</v>
      </c>
      <c r="B9" s="47">
        <f>B8/SQRT(5)</f>
        <v>0.12394942517010696</v>
      </c>
      <c r="C9" s="47">
        <f>C8/SQRT(5)</f>
        <v>3.0047296051392041E-2</v>
      </c>
      <c r="D9" s="47">
        <f>D8/SQRT(5)</f>
        <v>2.3042569301186932E-2</v>
      </c>
      <c r="E9" s="47">
        <f t="shared" ref="E9:G9" si="2">E8/SQRT(5)</f>
        <v>1.0016985574512895E-2</v>
      </c>
      <c r="F9" s="47">
        <f t="shared" si="2"/>
        <v>4.6043457732887032E-3</v>
      </c>
      <c r="G9" s="48">
        <f t="shared" si="2"/>
        <v>1.8548854412065423E-2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74985-411F-489E-91EA-3A60FA49533E}">
  <dimension ref="A1:G10"/>
  <sheetViews>
    <sheetView workbookViewId="0">
      <selection activeCell="D2" sqref="D2:D6"/>
    </sheetView>
  </sheetViews>
  <sheetFormatPr defaultRowHeight="14.25"/>
  <cols>
    <col min="1" max="1" width="8.1328125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7" ht="14.65" thickBot="1">
      <c r="A1" s="28" t="s">
        <v>4</v>
      </c>
      <c r="B1" s="29" t="s">
        <v>9</v>
      </c>
      <c r="C1" s="29" t="s">
        <v>5</v>
      </c>
      <c r="D1" s="29" t="s">
        <v>10</v>
      </c>
      <c r="E1" s="31" t="s">
        <v>0</v>
      </c>
    </row>
    <row r="2" spans="1:7" ht="14.65" thickBot="1">
      <c r="A2" s="32">
        <v>7.0000000000000007E-2</v>
      </c>
      <c r="B2" s="33">
        <v>0.99</v>
      </c>
      <c r="C2" s="34">
        <f>$E$2-B2</f>
        <v>9.000000000000008E-2</v>
      </c>
      <c r="D2" s="42">
        <f>0.01*SQRT(2)</f>
        <v>1.4142135623730952E-2</v>
      </c>
      <c r="E2" s="27">
        <v>1.08</v>
      </c>
    </row>
    <row r="3" spans="1:7" ht="14.65" thickBot="1">
      <c r="A3" s="23">
        <v>0.1</v>
      </c>
      <c r="B3" s="1">
        <v>0.94</v>
      </c>
      <c r="C3" s="2">
        <f>$E$2-B3</f>
        <v>0.14000000000000012</v>
      </c>
      <c r="D3" s="43">
        <f t="shared" ref="D3:D6" si="0">0.01*SQRT(2)</f>
        <v>1.4142135623730952E-2</v>
      </c>
      <c r="E3" s="30" t="s">
        <v>11</v>
      </c>
    </row>
    <row r="4" spans="1:7" ht="14.65" thickBot="1">
      <c r="A4" s="23">
        <v>0.12</v>
      </c>
      <c r="B4" s="1">
        <v>0.91</v>
      </c>
      <c r="C4" s="2">
        <f>$E$2-B4</f>
        <v>0.17000000000000004</v>
      </c>
      <c r="D4" s="43">
        <f t="shared" si="0"/>
        <v>1.4142135623730952E-2</v>
      </c>
      <c r="E4" s="35">
        <v>0.01</v>
      </c>
    </row>
    <row r="5" spans="1:7">
      <c r="A5" s="23">
        <v>0.15</v>
      </c>
      <c r="B5" s="1">
        <v>0.87</v>
      </c>
      <c r="C5" s="2">
        <f>$E$2-B5</f>
        <v>0.21000000000000008</v>
      </c>
      <c r="D5" s="43">
        <f t="shared" si="0"/>
        <v>1.4142135623730952E-2</v>
      </c>
    </row>
    <row r="6" spans="1:7" ht="14.65" thickBot="1">
      <c r="A6" s="24">
        <v>0.2</v>
      </c>
      <c r="B6" s="25">
        <v>0.8</v>
      </c>
      <c r="C6" s="26">
        <f>$E$2-B6</f>
        <v>0.28000000000000003</v>
      </c>
      <c r="D6" s="44">
        <f t="shared" si="0"/>
        <v>1.4142135623730952E-2</v>
      </c>
    </row>
    <row r="7" spans="1:7">
      <c r="D7" s="2"/>
      <c r="E7" s="2"/>
      <c r="F7" s="2"/>
    </row>
    <row r="8" spans="1:7">
      <c r="D8" s="2"/>
      <c r="E8" s="2"/>
      <c r="F8" s="2"/>
      <c r="G8" s="12"/>
    </row>
    <row r="9" spans="1:7">
      <c r="D9" s="2"/>
      <c r="E9" s="2"/>
      <c r="F9" s="2"/>
    </row>
    <row r="10" spans="1:7">
      <c r="D10" s="2"/>
      <c r="E10" s="2"/>
      <c r="F10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69C90-FCC6-4A89-8B97-F22B0EE4BB61}">
  <dimension ref="A1:F8"/>
  <sheetViews>
    <sheetView workbookViewId="0">
      <selection activeCell="D2" sqref="D2:D7"/>
    </sheetView>
  </sheetViews>
  <sheetFormatPr defaultRowHeight="14.25"/>
  <cols>
    <col min="1" max="1" width="5.796875" bestFit="1" customWidth="1"/>
    <col min="2" max="2" width="12.796875" bestFit="1" customWidth="1"/>
    <col min="3" max="3" width="16.33203125" bestFit="1" customWidth="1"/>
    <col min="4" max="4" width="19" bestFit="1" customWidth="1"/>
    <col min="5" max="5" width="17.53125" bestFit="1" customWidth="1"/>
  </cols>
  <sheetData>
    <row r="1" spans="1:6" ht="14.65" thickBot="1">
      <c r="A1" s="28" t="s">
        <v>4</v>
      </c>
      <c r="B1" s="29" t="s">
        <v>9</v>
      </c>
      <c r="C1" s="29" t="s">
        <v>5</v>
      </c>
      <c r="D1" s="30" t="s">
        <v>10</v>
      </c>
      <c r="E1" s="31" t="s">
        <v>0</v>
      </c>
    </row>
    <row r="2" spans="1:6" ht="14.65" thickBot="1">
      <c r="A2" s="32">
        <v>0.1</v>
      </c>
      <c r="B2" s="33">
        <v>1.25</v>
      </c>
      <c r="C2" s="34">
        <f>$E$2-B2</f>
        <v>2.0000000000000018E-2</v>
      </c>
      <c r="D2" s="42">
        <f>0.01*SQRT(2)</f>
        <v>1.4142135623730952E-2</v>
      </c>
      <c r="E2" s="38">
        <v>1.27</v>
      </c>
    </row>
    <row r="3" spans="1:6" ht="14.65" thickBot="1">
      <c r="A3" s="23">
        <v>0.2</v>
      </c>
      <c r="B3" s="1">
        <v>1.23</v>
      </c>
      <c r="C3" s="2">
        <f t="shared" ref="C3:C6" si="0">$E$2-B3</f>
        <v>4.0000000000000036E-2</v>
      </c>
      <c r="D3" s="43">
        <f t="shared" ref="D3:D6" si="1">0.01*SQRT(2)</f>
        <v>1.4142135623730952E-2</v>
      </c>
      <c r="E3" s="31" t="s">
        <v>11</v>
      </c>
    </row>
    <row r="4" spans="1:6" ht="14.65" thickBot="1">
      <c r="A4" s="23">
        <v>0.5</v>
      </c>
      <c r="B4" s="1">
        <v>1.18</v>
      </c>
      <c r="C4" s="2">
        <f t="shared" si="0"/>
        <v>9.000000000000008E-2</v>
      </c>
      <c r="D4" s="43">
        <f t="shared" si="1"/>
        <v>1.4142135623730952E-2</v>
      </c>
      <c r="E4" s="37">
        <v>0.01</v>
      </c>
    </row>
    <row r="5" spans="1:6">
      <c r="A5" s="23">
        <v>0.7</v>
      </c>
      <c r="B5" s="1">
        <v>1.1499999999999999</v>
      </c>
      <c r="C5" s="2">
        <f t="shared" si="0"/>
        <v>0.12000000000000011</v>
      </c>
      <c r="D5" s="43">
        <f t="shared" si="1"/>
        <v>1.4142135623730952E-2</v>
      </c>
    </row>
    <row r="6" spans="1:6">
      <c r="A6" s="23">
        <v>0.9</v>
      </c>
      <c r="B6" s="1">
        <v>1.1200000000000001</v>
      </c>
      <c r="C6" s="2">
        <f t="shared" si="0"/>
        <v>0.14999999999999991</v>
      </c>
      <c r="D6" s="43">
        <f t="shared" si="1"/>
        <v>1.4142135623730952E-2</v>
      </c>
    </row>
    <row r="7" spans="1:6" ht="14.65" thickBot="1">
      <c r="A7" s="24">
        <v>1</v>
      </c>
      <c r="B7" s="25">
        <v>1.1000000000000001</v>
      </c>
      <c r="C7" s="26">
        <f>$E$2-B7</f>
        <v>0.16999999999999993</v>
      </c>
      <c r="D7" s="44">
        <f>0.01*SQRT(2)</f>
        <v>1.4142135623730952E-2</v>
      </c>
    </row>
    <row r="8" spans="1:6">
      <c r="D8" s="2"/>
      <c r="E8" s="2"/>
      <c r="F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DC5A2-D279-48A9-BF00-0CC86CD57626}">
  <dimension ref="A1:G397"/>
  <sheetViews>
    <sheetView tabSelected="1" workbookViewId="0">
      <selection activeCell="E9" sqref="E9"/>
    </sheetView>
  </sheetViews>
  <sheetFormatPr defaultRowHeight="14.25"/>
  <cols>
    <col min="1" max="1" width="7.33203125" bestFit="1" customWidth="1"/>
    <col min="2" max="2" width="7.1328125" bestFit="1" customWidth="1"/>
    <col min="3" max="3" width="11.46484375" bestFit="1" customWidth="1"/>
  </cols>
  <sheetData>
    <row r="1" spans="1:7" ht="26.25">
      <c r="A1" s="54" t="s">
        <v>13</v>
      </c>
      <c r="B1" s="54" t="s">
        <v>14</v>
      </c>
      <c r="C1" s="55" t="s">
        <v>15</v>
      </c>
      <c r="D1" s="12"/>
      <c r="E1" s="3"/>
      <c r="F1" s="3"/>
      <c r="G1" s="1"/>
    </row>
    <row r="2" spans="1:7">
      <c r="A2" s="2">
        <v>0.78</v>
      </c>
      <c r="B2" s="1">
        <v>1.1220000000000001</v>
      </c>
      <c r="C2" s="53">
        <v>0.03</v>
      </c>
      <c r="D2" s="15"/>
      <c r="E2" s="15"/>
      <c r="F2" s="15"/>
    </row>
    <row r="3" spans="1:7">
      <c r="A3" s="1">
        <v>0.8</v>
      </c>
      <c r="B3" s="1">
        <v>1.1227</v>
      </c>
      <c r="C3" s="53">
        <v>0.04</v>
      </c>
      <c r="D3" s="15"/>
      <c r="E3" s="15"/>
      <c r="F3" s="15"/>
    </row>
    <row r="4" spans="1:7">
      <c r="A4" s="1">
        <v>0.82</v>
      </c>
      <c r="B4" s="1">
        <v>1.1234999999999999</v>
      </c>
      <c r="C4" s="53">
        <v>0.05</v>
      </c>
      <c r="D4" s="15"/>
      <c r="E4" s="15"/>
      <c r="F4" s="15"/>
    </row>
    <row r="5" spans="1:7">
      <c r="A5" s="1">
        <v>0.84</v>
      </c>
      <c r="B5" s="1">
        <v>1.1247</v>
      </c>
      <c r="C5" s="53">
        <v>0.06</v>
      </c>
      <c r="D5" s="15"/>
      <c r="E5" s="15"/>
      <c r="F5" s="15"/>
    </row>
    <row r="6" spans="1:7">
      <c r="A6" s="1">
        <v>0.86</v>
      </c>
      <c r="B6" s="1">
        <v>1.1258999999999999</v>
      </c>
      <c r="C6" s="53">
        <v>0.06</v>
      </c>
      <c r="D6" s="15"/>
      <c r="E6" s="15"/>
      <c r="F6" s="15"/>
    </row>
    <row r="7" spans="1:7">
      <c r="A7" s="1">
        <v>0.88</v>
      </c>
      <c r="B7" s="1">
        <v>1.1272</v>
      </c>
      <c r="C7" s="53">
        <v>7.0000000000000007E-2</v>
      </c>
      <c r="D7" s="15"/>
      <c r="E7" s="15"/>
      <c r="F7" s="15"/>
    </row>
    <row r="8" spans="1:7">
      <c r="A8" s="1">
        <v>0.9</v>
      </c>
      <c r="B8" s="1">
        <v>1.1286</v>
      </c>
      <c r="C8" s="53">
        <v>7.0000000000000007E-2</v>
      </c>
      <c r="D8" s="15"/>
      <c r="E8" s="15"/>
      <c r="F8" s="15"/>
    </row>
    <row r="9" spans="1:7">
      <c r="A9" s="1">
        <v>0.92</v>
      </c>
      <c r="B9" s="1">
        <v>1.1303000000000001</v>
      </c>
      <c r="C9" s="53">
        <v>0.08</v>
      </c>
      <c r="D9" s="15"/>
      <c r="E9" s="15"/>
      <c r="F9" s="15"/>
    </row>
    <row r="10" spans="1:7">
      <c r="A10" s="1">
        <v>0.94</v>
      </c>
      <c r="B10" s="1">
        <v>1.1316999999999999</v>
      </c>
      <c r="C10" s="53">
        <v>7.0000000000000007E-2</v>
      </c>
      <c r="D10" s="15"/>
      <c r="E10" s="15"/>
      <c r="F10" s="15"/>
    </row>
    <row r="11" spans="1:7">
      <c r="A11" s="1">
        <v>0.96</v>
      </c>
      <c r="B11" s="1">
        <v>1.1333</v>
      </c>
      <c r="C11" s="53">
        <v>7.0000000000000007E-2</v>
      </c>
      <c r="D11" s="15"/>
      <c r="E11" s="15"/>
      <c r="F11" s="15"/>
    </row>
    <row r="12" spans="1:7">
      <c r="A12" s="1">
        <v>0.98</v>
      </c>
      <c r="B12" s="1">
        <v>1.1346000000000001</v>
      </c>
      <c r="C12" s="53">
        <v>7.0000000000000007E-2</v>
      </c>
      <c r="D12" s="15"/>
      <c r="E12" s="15"/>
      <c r="F12" s="15"/>
    </row>
    <row r="13" spans="1:7">
      <c r="A13" s="1">
        <v>1</v>
      </c>
      <c r="B13" s="1">
        <v>1.1359999999999999</v>
      </c>
      <c r="C13" s="53">
        <v>7.0000000000000007E-2</v>
      </c>
      <c r="D13" s="15"/>
      <c r="E13" s="15"/>
      <c r="F13" s="15"/>
    </row>
    <row r="14" spans="1:7">
      <c r="A14" s="1">
        <v>1.02</v>
      </c>
      <c r="B14" s="1">
        <v>1.1375</v>
      </c>
      <c r="C14" s="53">
        <v>0.06</v>
      </c>
      <c r="D14" s="15"/>
      <c r="E14" s="15"/>
      <c r="F14" s="15"/>
    </row>
    <row r="15" spans="1:7">
      <c r="A15" s="1">
        <v>1.04</v>
      </c>
      <c r="B15" s="1">
        <v>1.1384000000000001</v>
      </c>
      <c r="C15" s="53">
        <v>0.04</v>
      </c>
      <c r="D15" s="15"/>
      <c r="E15" s="15"/>
      <c r="F15" s="15"/>
    </row>
    <row r="16" spans="1:7">
      <c r="A16" s="1">
        <v>1.06</v>
      </c>
      <c r="B16" s="1">
        <v>1.139</v>
      </c>
      <c r="C16" s="53">
        <v>0.03</v>
      </c>
      <c r="D16" s="15"/>
      <c r="E16" s="15"/>
      <c r="F16" s="15"/>
    </row>
    <row r="17" spans="1:6">
      <c r="A17" s="1">
        <v>1.08</v>
      </c>
      <c r="B17" s="1">
        <v>1.1397999999999999</v>
      </c>
      <c r="C17" s="53">
        <v>0.03</v>
      </c>
      <c r="D17" s="15"/>
      <c r="E17" s="15"/>
      <c r="F17" s="15"/>
    </row>
    <row r="18" spans="1:6">
      <c r="A18" s="1">
        <v>1.1000000000000001</v>
      </c>
      <c r="B18" s="1">
        <v>1.1402000000000001</v>
      </c>
      <c r="C18" s="53">
        <v>0.01</v>
      </c>
      <c r="D18" s="15"/>
      <c r="E18" s="15"/>
      <c r="F18" s="15"/>
    </row>
    <row r="19" spans="1:6">
      <c r="A19" s="1">
        <v>1.1200000000000001</v>
      </c>
      <c r="B19" s="1">
        <v>1.1402000000000001</v>
      </c>
      <c r="C19" s="53">
        <v>0</v>
      </c>
      <c r="D19" s="15"/>
      <c r="E19" s="15"/>
      <c r="F19" s="15"/>
    </row>
    <row r="20" spans="1:6">
      <c r="A20" s="1">
        <v>1.1399999999999999</v>
      </c>
      <c r="B20" s="1">
        <v>1.1400999999999999</v>
      </c>
      <c r="C20" s="53">
        <v>-0.02</v>
      </c>
      <c r="D20" s="15"/>
      <c r="E20" s="15"/>
      <c r="F20" s="15"/>
    </row>
    <row r="21" spans="1:6">
      <c r="A21" s="1">
        <v>1.1599999999999999</v>
      </c>
      <c r="B21" s="1">
        <v>1.1395999999999999</v>
      </c>
      <c r="C21" s="53">
        <v>-0.03</v>
      </c>
      <c r="D21" s="15"/>
      <c r="E21" s="15"/>
      <c r="F21" s="15"/>
    </row>
    <row r="22" spans="1:6">
      <c r="A22" s="1">
        <v>1.18</v>
      </c>
      <c r="B22" s="1">
        <v>1.139</v>
      </c>
      <c r="C22" s="53">
        <v>-0.04</v>
      </c>
      <c r="D22" s="15"/>
      <c r="E22" s="15"/>
      <c r="F22" s="15"/>
    </row>
    <row r="23" spans="1:6">
      <c r="A23" s="1">
        <v>1.2</v>
      </c>
      <c r="B23" s="1">
        <v>1.1382000000000001</v>
      </c>
      <c r="C23" s="53">
        <v>-0.05</v>
      </c>
      <c r="D23" s="15"/>
      <c r="E23" s="15"/>
      <c r="F23" s="15"/>
    </row>
    <row r="24" spans="1:6">
      <c r="A24" s="1">
        <v>1.22</v>
      </c>
      <c r="B24" s="1">
        <v>1.137</v>
      </c>
      <c r="C24" s="53">
        <v>-0.06</v>
      </c>
      <c r="D24" s="15"/>
      <c r="E24" s="15"/>
      <c r="F24" s="15"/>
    </row>
    <row r="25" spans="1:6">
      <c r="A25" s="1">
        <v>1.24</v>
      </c>
      <c r="B25" s="1">
        <v>1.1355999999999999</v>
      </c>
      <c r="C25" s="53">
        <v>-7.0000000000000007E-2</v>
      </c>
      <c r="D25" s="15"/>
      <c r="E25" s="15"/>
      <c r="F25" s="15"/>
    </row>
    <row r="26" spans="1:6">
      <c r="A26" s="1">
        <v>1.26</v>
      </c>
      <c r="B26" s="1">
        <v>1.1345000000000001</v>
      </c>
      <c r="C26" s="53">
        <v>-7.0000000000000007E-2</v>
      </c>
      <c r="D26" s="1"/>
      <c r="E26" s="1"/>
      <c r="F26" s="1"/>
    </row>
    <row r="27" spans="1:6">
      <c r="A27" s="1">
        <v>1.28</v>
      </c>
      <c r="B27" s="1">
        <v>1.1327</v>
      </c>
      <c r="C27" s="53">
        <v>-0.08</v>
      </c>
      <c r="D27" s="1"/>
      <c r="E27" s="1"/>
      <c r="F27" s="1"/>
    </row>
    <row r="28" spans="1:6">
      <c r="A28" s="1">
        <v>1.3</v>
      </c>
      <c r="B28" s="1">
        <v>1.1312</v>
      </c>
      <c r="C28" s="53">
        <v>-0.08</v>
      </c>
      <c r="D28" s="1"/>
      <c r="E28" s="1"/>
      <c r="F28" s="14"/>
    </row>
    <row r="29" spans="1:6">
      <c r="A29" s="1">
        <v>1.32</v>
      </c>
      <c r="B29" s="1">
        <v>1.1296999999999999</v>
      </c>
      <c r="C29" s="53">
        <v>-0.08</v>
      </c>
      <c r="D29" s="1"/>
      <c r="E29" s="1"/>
      <c r="F29" s="1"/>
    </row>
    <row r="30" spans="1:6">
      <c r="A30" s="1">
        <v>1.34</v>
      </c>
      <c r="B30" s="1">
        <v>1.1276999999999999</v>
      </c>
      <c r="C30" s="53">
        <v>-0.08</v>
      </c>
      <c r="D30" s="1"/>
      <c r="E30" s="1"/>
      <c r="F30" s="1"/>
    </row>
    <row r="31" spans="1:6">
      <c r="A31" s="1">
        <v>1.36</v>
      </c>
      <c r="B31" s="1">
        <v>1.1264000000000001</v>
      </c>
      <c r="C31" s="53">
        <v>-0.08</v>
      </c>
      <c r="D31" s="1"/>
      <c r="E31" s="1"/>
      <c r="F31" s="1"/>
    </row>
    <row r="32" spans="1:6">
      <c r="A32" s="1">
        <v>1.38</v>
      </c>
      <c r="B32" s="1">
        <v>1.1244000000000001</v>
      </c>
      <c r="C32" s="53">
        <v>-7.0000000000000007E-2</v>
      </c>
      <c r="D32" s="1"/>
      <c r="E32" s="1"/>
      <c r="F32" s="1"/>
    </row>
    <row r="33" spans="1:6">
      <c r="A33" s="1">
        <v>1.4</v>
      </c>
      <c r="B33" s="1">
        <v>1.1232</v>
      </c>
      <c r="C33" s="53">
        <v>-0.06</v>
      </c>
      <c r="D33" s="1"/>
      <c r="E33" s="1"/>
      <c r="F33" s="1"/>
    </row>
    <row r="34" spans="1:6">
      <c r="A34" s="1">
        <v>1.42</v>
      </c>
      <c r="B34" s="1">
        <v>1.1221000000000001</v>
      </c>
      <c r="C34" s="53">
        <v>-0.05</v>
      </c>
      <c r="D34" s="1"/>
      <c r="E34" s="1"/>
      <c r="F34" s="1"/>
    </row>
    <row r="35" spans="1:6">
      <c r="A35" s="1">
        <v>1.44</v>
      </c>
      <c r="B35" s="1">
        <v>1.1214</v>
      </c>
      <c r="C35" s="53">
        <v>-0.03</v>
      </c>
      <c r="D35" s="1"/>
      <c r="E35" s="1"/>
      <c r="F35" s="1"/>
    </row>
    <row r="36" spans="1:6">
      <c r="A36" s="1">
        <v>1.46</v>
      </c>
      <c r="B36" s="1">
        <v>1.1206</v>
      </c>
      <c r="C36" s="53">
        <v>-0.02</v>
      </c>
      <c r="D36" s="1"/>
      <c r="E36" s="1"/>
      <c r="F36" s="1"/>
    </row>
    <row r="37" spans="1:6">
      <c r="A37" s="1">
        <v>1.48</v>
      </c>
      <c r="B37" s="1">
        <v>1.1204000000000001</v>
      </c>
      <c r="C37" s="53">
        <v>-0.01</v>
      </c>
      <c r="D37" s="1"/>
      <c r="E37" s="1"/>
      <c r="F37" s="1"/>
    </row>
    <row r="38" spans="1:6">
      <c r="A38" s="1"/>
      <c r="B38" s="1"/>
      <c r="D38" s="1"/>
      <c r="E38" s="1"/>
      <c r="F38" s="1"/>
    </row>
    <row r="39" spans="1:6">
      <c r="A39" s="1"/>
      <c r="B39" s="1"/>
      <c r="D39" s="1"/>
      <c r="E39" s="1"/>
      <c r="F39" s="1"/>
    </row>
    <row r="40" spans="1:6">
      <c r="A40" s="1"/>
      <c r="B40" s="1"/>
      <c r="D40" s="1"/>
      <c r="E40" s="1"/>
      <c r="F40" s="1"/>
    </row>
    <row r="41" spans="1:6">
      <c r="A41" s="1"/>
      <c r="B41" s="1"/>
      <c r="D41" s="1"/>
      <c r="E41" s="1"/>
      <c r="F41" s="1"/>
    </row>
    <row r="42" spans="1:6">
      <c r="A42" s="1"/>
      <c r="B42" s="1"/>
      <c r="D42" s="1"/>
      <c r="E42" s="1"/>
      <c r="F42" s="1"/>
    </row>
    <row r="43" spans="1:6">
      <c r="A43" s="1"/>
      <c r="B43" s="1"/>
      <c r="D43" s="1"/>
      <c r="E43" s="1"/>
      <c r="F43" s="1"/>
    </row>
    <row r="44" spans="1:6">
      <c r="A44" s="1"/>
      <c r="B44" s="1"/>
      <c r="D44" s="1"/>
      <c r="E44" s="1"/>
      <c r="F44" s="1"/>
    </row>
    <row r="45" spans="1:6">
      <c r="A45" s="1"/>
      <c r="B45" s="1"/>
      <c r="D45" s="1"/>
      <c r="E45" s="1"/>
      <c r="F45" s="1"/>
    </row>
    <row r="46" spans="1:6">
      <c r="A46" s="1"/>
      <c r="B46" s="1"/>
      <c r="D46" s="1"/>
      <c r="E46" s="1"/>
      <c r="F46" s="1"/>
    </row>
    <row r="47" spans="1:6">
      <c r="A47" s="1"/>
      <c r="B47" s="1"/>
      <c r="D47" s="1"/>
      <c r="E47" s="1"/>
      <c r="F47" s="1"/>
    </row>
    <row r="48" spans="1:6">
      <c r="A48" s="1"/>
      <c r="B48" s="1"/>
      <c r="D48" s="1"/>
      <c r="E48" s="1"/>
      <c r="F48" s="1"/>
    </row>
    <row r="49" spans="1:6">
      <c r="A49" s="1"/>
      <c r="B49" s="1"/>
      <c r="D49" s="1"/>
      <c r="E49" s="1"/>
      <c r="F49" s="1"/>
    </row>
    <row r="50" spans="1:6">
      <c r="A50" s="1"/>
      <c r="B50" s="1"/>
      <c r="D50" s="1"/>
      <c r="E50" s="1"/>
      <c r="F50" s="1"/>
    </row>
    <row r="51" spans="1:6">
      <c r="A51" s="1"/>
      <c r="B51" s="1"/>
      <c r="D51" s="1"/>
      <c r="E51" s="1"/>
      <c r="F51" s="1"/>
    </row>
    <row r="52" spans="1:6">
      <c r="A52" s="1"/>
      <c r="B52" s="1"/>
      <c r="D52" s="1"/>
      <c r="E52" s="1"/>
      <c r="F52" s="1"/>
    </row>
    <row r="53" spans="1:6">
      <c r="A53" s="1"/>
      <c r="B53" s="1"/>
      <c r="D53" s="1"/>
      <c r="E53" s="1"/>
      <c r="F53" s="1"/>
    </row>
    <row r="54" spans="1:6">
      <c r="A54" s="1"/>
      <c r="B54" s="1"/>
      <c r="D54" s="1"/>
      <c r="E54" s="1"/>
      <c r="F54" s="1"/>
    </row>
    <row r="55" spans="1:6">
      <c r="A55" s="1"/>
      <c r="B55" s="1"/>
      <c r="D55" s="1"/>
      <c r="E55" s="1"/>
      <c r="F55" s="1"/>
    </row>
    <row r="56" spans="1:6">
      <c r="A56" s="1"/>
      <c r="B56" s="1"/>
      <c r="D56" s="1"/>
      <c r="E56" s="1"/>
      <c r="F56" s="1"/>
    </row>
    <row r="57" spans="1:6">
      <c r="A57" s="1"/>
      <c r="B57" s="1"/>
      <c r="D57" s="1"/>
      <c r="E57" s="1"/>
      <c r="F57" s="1"/>
    </row>
    <row r="58" spans="1:6">
      <c r="A58" s="1"/>
      <c r="B58" s="1"/>
      <c r="D58" s="1"/>
      <c r="E58" s="1"/>
      <c r="F58" s="1"/>
    </row>
    <row r="59" spans="1:6">
      <c r="A59" s="1"/>
      <c r="B59" s="1"/>
      <c r="D59" s="1"/>
      <c r="E59" s="1"/>
      <c r="F59" s="1"/>
    </row>
    <row r="60" spans="1:6">
      <c r="A60" s="1"/>
      <c r="B60" s="1"/>
      <c r="D60" s="1"/>
      <c r="E60" s="1"/>
      <c r="F60" s="1"/>
    </row>
    <row r="61" spans="1:6">
      <c r="A61" s="1"/>
      <c r="B61" s="1"/>
      <c r="D61" s="1"/>
      <c r="E61" s="1"/>
      <c r="F61" s="1"/>
    </row>
    <row r="62" spans="1:6">
      <c r="A62" s="1"/>
      <c r="B62" s="1"/>
      <c r="D62" s="1"/>
      <c r="E62" s="1"/>
      <c r="F62" s="1"/>
    </row>
    <row r="63" spans="1:6">
      <c r="A63" s="1"/>
      <c r="B63" s="1"/>
      <c r="D63" s="1"/>
      <c r="E63" s="1"/>
      <c r="F63" s="1"/>
    </row>
    <row r="64" spans="1:6">
      <c r="A64" s="1"/>
      <c r="B64" s="1"/>
      <c r="D64" s="1"/>
      <c r="E64" s="1"/>
      <c r="F64" s="1"/>
    </row>
    <row r="65" spans="1:6">
      <c r="A65" s="1"/>
      <c r="B65" s="1"/>
      <c r="D65" s="1"/>
      <c r="E65" s="1"/>
      <c r="F65" s="1"/>
    </row>
    <row r="66" spans="1:6">
      <c r="A66" s="1"/>
      <c r="B66" s="1"/>
      <c r="D66" s="1"/>
      <c r="E66" s="1"/>
      <c r="F66" s="1"/>
    </row>
    <row r="67" spans="1:6">
      <c r="A67" s="1"/>
      <c r="B67" s="1"/>
      <c r="D67" s="1"/>
      <c r="E67" s="1"/>
      <c r="F67" s="1"/>
    </row>
    <row r="68" spans="1:6">
      <c r="A68" s="1"/>
      <c r="B68" s="1"/>
      <c r="D68" s="1"/>
      <c r="E68" s="1"/>
      <c r="F68" s="1"/>
    </row>
    <row r="69" spans="1:6">
      <c r="A69" s="1"/>
      <c r="B69" s="1"/>
      <c r="D69" s="1"/>
      <c r="E69" s="1"/>
      <c r="F69" s="1"/>
    </row>
    <row r="70" spans="1:6">
      <c r="A70" s="1"/>
      <c r="B70" s="1"/>
      <c r="D70" s="1"/>
      <c r="E70" s="1"/>
      <c r="F70" s="1"/>
    </row>
    <row r="71" spans="1:6">
      <c r="A71" s="1"/>
      <c r="B71" s="1"/>
      <c r="D71" s="1"/>
      <c r="E71" s="1"/>
      <c r="F71" s="1"/>
    </row>
    <row r="72" spans="1:6">
      <c r="A72" s="1"/>
      <c r="B72" s="1"/>
      <c r="D72" s="1"/>
      <c r="E72" s="1"/>
      <c r="F72" s="1"/>
    </row>
    <row r="73" spans="1:6">
      <c r="A73" s="1"/>
      <c r="B73" s="1"/>
      <c r="D73" s="1"/>
      <c r="E73" s="1"/>
      <c r="F73" s="1"/>
    </row>
    <row r="74" spans="1:6">
      <c r="A74" s="1"/>
      <c r="B74" s="1"/>
      <c r="D74" s="1"/>
      <c r="E74" s="1"/>
      <c r="F74" s="1"/>
    </row>
    <row r="75" spans="1:6">
      <c r="A75" s="1"/>
      <c r="B75" s="1"/>
      <c r="D75" s="1"/>
      <c r="E75" s="1"/>
      <c r="F75" s="1"/>
    </row>
    <row r="76" spans="1:6">
      <c r="A76" s="1"/>
      <c r="B76" s="1"/>
      <c r="D76" s="1"/>
      <c r="E76" s="1"/>
      <c r="F76" s="1"/>
    </row>
    <row r="77" spans="1:6">
      <c r="A77" s="1"/>
      <c r="B77" s="1"/>
      <c r="D77" s="1"/>
      <c r="E77" s="1"/>
      <c r="F77" s="1"/>
    </row>
    <row r="78" spans="1:6">
      <c r="A78" s="1"/>
      <c r="B78" s="1"/>
      <c r="D78" s="1"/>
      <c r="E78" s="1"/>
      <c r="F78" s="1"/>
    </row>
    <row r="79" spans="1:6">
      <c r="A79" s="1"/>
      <c r="B79" s="1"/>
      <c r="D79" s="1"/>
      <c r="E79" s="1"/>
      <c r="F79" s="1"/>
    </row>
    <row r="80" spans="1:6">
      <c r="A80" s="1"/>
      <c r="B80" s="1"/>
      <c r="D80" s="1"/>
      <c r="E80" s="1"/>
      <c r="F80" s="1"/>
    </row>
    <row r="81" spans="1:6">
      <c r="A81" s="1"/>
      <c r="B81" s="1"/>
      <c r="D81" s="1"/>
      <c r="E81" s="1"/>
      <c r="F81" s="1"/>
    </row>
    <row r="82" spans="1:6">
      <c r="A82" s="1"/>
      <c r="B82" s="1"/>
      <c r="D82" s="1"/>
      <c r="E82" s="1"/>
      <c r="F82" s="1"/>
    </row>
    <row r="83" spans="1:6">
      <c r="A83" s="1"/>
      <c r="B83" s="1"/>
      <c r="D83" s="1"/>
      <c r="E83" s="1"/>
      <c r="F83" s="1"/>
    </row>
    <row r="84" spans="1:6">
      <c r="A84" s="1"/>
      <c r="B84" s="1"/>
      <c r="D84" s="1"/>
      <c r="E84" s="1"/>
      <c r="F84" s="1"/>
    </row>
    <row r="85" spans="1:6">
      <c r="A85" s="1"/>
      <c r="B85" s="1"/>
      <c r="D85" s="1"/>
      <c r="E85" s="1"/>
      <c r="F85" s="1"/>
    </row>
    <row r="86" spans="1:6">
      <c r="A86" s="1"/>
      <c r="B86" s="1"/>
      <c r="D86" s="1"/>
      <c r="E86" s="1"/>
      <c r="F86" s="1"/>
    </row>
    <row r="87" spans="1:6">
      <c r="A87" s="1"/>
      <c r="B87" s="1"/>
      <c r="D87" s="1"/>
      <c r="E87" s="1"/>
      <c r="F87" s="1"/>
    </row>
    <row r="88" spans="1:6">
      <c r="A88" s="1"/>
      <c r="B88" s="1"/>
      <c r="D88" s="1"/>
      <c r="E88" s="1"/>
      <c r="F88" s="1"/>
    </row>
    <row r="89" spans="1:6">
      <c r="A89" s="1"/>
      <c r="B89" s="1"/>
      <c r="D89" s="1"/>
      <c r="E89" s="1"/>
      <c r="F89" s="1"/>
    </row>
    <row r="90" spans="1:6">
      <c r="A90" s="1"/>
      <c r="B90" s="1"/>
      <c r="D90" s="1"/>
      <c r="E90" s="1"/>
      <c r="F90" s="1"/>
    </row>
    <row r="91" spans="1:6">
      <c r="A91" s="1"/>
      <c r="B91" s="1"/>
      <c r="D91" s="1"/>
      <c r="E91" s="1"/>
      <c r="F91" s="1"/>
    </row>
    <row r="92" spans="1:6">
      <c r="A92" s="1"/>
      <c r="B92" s="1"/>
      <c r="D92" s="1"/>
      <c r="E92" s="1"/>
      <c r="F92" s="1"/>
    </row>
    <row r="93" spans="1:6">
      <c r="A93" s="1"/>
      <c r="B93" s="1"/>
      <c r="D93" s="1"/>
      <c r="E93" s="1"/>
      <c r="F93" s="1"/>
    </row>
    <row r="94" spans="1:6">
      <c r="A94" s="1"/>
      <c r="B94" s="1"/>
      <c r="D94" s="1"/>
      <c r="E94" s="1"/>
      <c r="F94" s="1"/>
    </row>
    <row r="95" spans="1:6">
      <c r="A95" s="1"/>
      <c r="B95" s="1"/>
      <c r="D95" s="1"/>
      <c r="E95" s="1"/>
      <c r="F95" s="1"/>
    </row>
    <row r="96" spans="1:6">
      <c r="A96" s="1"/>
      <c r="B96" s="1"/>
      <c r="D96" s="1"/>
      <c r="E96" s="1"/>
      <c r="F96" s="1"/>
    </row>
    <row r="97" spans="1:6">
      <c r="A97" s="1"/>
      <c r="B97" s="1"/>
      <c r="D97" s="1"/>
      <c r="E97" s="1"/>
      <c r="F97" s="1"/>
    </row>
    <row r="98" spans="1:6">
      <c r="A98" s="1"/>
      <c r="B98" s="1"/>
      <c r="D98" s="1"/>
      <c r="E98" s="1"/>
      <c r="F98" s="1"/>
    </row>
    <row r="99" spans="1:6">
      <c r="A99" s="1"/>
      <c r="B99" s="1"/>
      <c r="D99" s="1"/>
      <c r="E99" s="1"/>
      <c r="F99" s="1"/>
    </row>
    <row r="100" spans="1:6">
      <c r="A100" s="1"/>
      <c r="B100" s="1"/>
      <c r="D100" s="1"/>
      <c r="E100" s="1"/>
      <c r="F100" s="1"/>
    </row>
    <row r="101" spans="1:6">
      <c r="A101" s="1"/>
      <c r="B101" s="1"/>
      <c r="D101" s="1"/>
      <c r="E101" s="1"/>
      <c r="F101" s="1"/>
    </row>
    <row r="102" spans="1:6">
      <c r="A102" s="1"/>
      <c r="B102" s="1"/>
      <c r="D102" s="1"/>
      <c r="E102" s="1"/>
      <c r="F102" s="1"/>
    </row>
    <row r="103" spans="1:6">
      <c r="A103" s="1"/>
      <c r="B103" s="1"/>
      <c r="D103" s="1"/>
      <c r="E103" s="1"/>
      <c r="F103" s="1"/>
    </row>
    <row r="104" spans="1:6">
      <c r="A104" s="1"/>
      <c r="B104" s="1"/>
      <c r="D104" s="1"/>
      <c r="E104" s="1"/>
      <c r="F104" s="1"/>
    </row>
    <row r="105" spans="1:6">
      <c r="A105" s="1"/>
      <c r="B105" s="1"/>
      <c r="D105" s="1"/>
      <c r="E105" s="1"/>
      <c r="F105" s="1"/>
    </row>
    <row r="106" spans="1:6">
      <c r="A106" s="1"/>
      <c r="B106" s="1"/>
      <c r="D106" s="1"/>
      <c r="E106" s="1"/>
      <c r="F106" s="1"/>
    </row>
    <row r="107" spans="1:6">
      <c r="A107" s="1"/>
      <c r="B107" s="1"/>
      <c r="D107" s="1"/>
      <c r="E107" s="1"/>
      <c r="F107" s="1"/>
    </row>
    <row r="108" spans="1:6">
      <c r="A108" s="1"/>
      <c r="B108" s="1"/>
      <c r="D108" s="1"/>
      <c r="E108" s="1"/>
      <c r="F108" s="1"/>
    </row>
    <row r="109" spans="1:6">
      <c r="A109" s="1"/>
      <c r="B109" s="1"/>
      <c r="D109" s="1"/>
      <c r="E109" s="1"/>
      <c r="F109" s="1"/>
    </row>
    <row r="110" spans="1:6">
      <c r="A110" s="1"/>
      <c r="B110" s="1"/>
      <c r="D110" s="1"/>
      <c r="E110" s="1"/>
      <c r="F110" s="1"/>
    </row>
    <row r="111" spans="1:6">
      <c r="A111" s="1"/>
      <c r="B111" s="1"/>
      <c r="D111" s="1"/>
      <c r="E111" s="1"/>
      <c r="F111" s="1"/>
    </row>
    <row r="112" spans="1:6">
      <c r="A112" s="1"/>
      <c r="B112" s="1"/>
      <c r="D112" s="1"/>
      <c r="E112" s="1"/>
      <c r="F112" s="1"/>
    </row>
    <row r="113" spans="1:6">
      <c r="A113" s="1"/>
      <c r="B113" s="1"/>
      <c r="D113" s="1"/>
      <c r="E113" s="1"/>
      <c r="F113" s="1"/>
    </row>
    <row r="114" spans="1:6">
      <c r="A114" s="1"/>
      <c r="B114" s="1"/>
      <c r="D114" s="1"/>
      <c r="E114" s="1"/>
      <c r="F114" s="1"/>
    </row>
    <row r="115" spans="1:6">
      <c r="A115" s="1"/>
      <c r="B115" s="1"/>
      <c r="D115" s="1"/>
      <c r="E115" s="1"/>
      <c r="F115" s="1"/>
    </row>
    <row r="116" spans="1:6">
      <c r="A116" s="1"/>
      <c r="B116" s="1"/>
      <c r="D116" s="1"/>
      <c r="E116" s="1"/>
      <c r="F116" s="1"/>
    </row>
    <row r="117" spans="1:6">
      <c r="A117" s="1"/>
      <c r="B117" s="1"/>
      <c r="D117" s="1"/>
      <c r="E117" s="1"/>
      <c r="F117" s="1"/>
    </row>
    <row r="118" spans="1:6">
      <c r="A118" s="1"/>
      <c r="B118" s="1"/>
      <c r="D118" s="1"/>
      <c r="E118" s="1"/>
      <c r="F118" s="1"/>
    </row>
    <row r="119" spans="1:6">
      <c r="A119" s="1"/>
      <c r="B119" s="1"/>
      <c r="D119" s="1"/>
      <c r="E119" s="1"/>
      <c r="F119" s="1"/>
    </row>
    <row r="120" spans="1:6">
      <c r="A120" s="1"/>
      <c r="B120" s="1"/>
      <c r="D120" s="1"/>
      <c r="E120" s="1"/>
      <c r="F120" s="1"/>
    </row>
    <row r="121" spans="1:6">
      <c r="A121" s="1"/>
      <c r="B121" s="1"/>
      <c r="D121" s="1"/>
      <c r="E121" s="1"/>
      <c r="F121" s="1"/>
    </row>
    <row r="122" spans="1:6">
      <c r="A122" s="1"/>
      <c r="B122" s="1"/>
      <c r="D122" s="1"/>
      <c r="E122" s="1"/>
      <c r="F122" s="1"/>
    </row>
    <row r="123" spans="1:6">
      <c r="A123" s="1"/>
      <c r="B123" s="1"/>
      <c r="D123" s="1"/>
      <c r="E123" s="1"/>
      <c r="F123" s="1"/>
    </row>
    <row r="124" spans="1:6">
      <c r="A124" s="1"/>
      <c r="B124" s="1"/>
      <c r="D124" s="1"/>
      <c r="E124" s="1"/>
      <c r="F124" s="1"/>
    </row>
    <row r="125" spans="1:6">
      <c r="A125" s="1"/>
      <c r="B125" s="1"/>
      <c r="D125" s="1"/>
      <c r="E125" s="1"/>
      <c r="F125" s="1"/>
    </row>
    <row r="126" spans="1:6">
      <c r="A126" s="1"/>
      <c r="B126" s="1"/>
      <c r="D126" s="1"/>
      <c r="E126" s="1"/>
      <c r="F126" s="1"/>
    </row>
    <row r="127" spans="1:6">
      <c r="A127" s="1"/>
      <c r="B127" s="1"/>
      <c r="D127" s="1"/>
      <c r="E127" s="1"/>
      <c r="F127" s="1"/>
    </row>
    <row r="128" spans="1:6">
      <c r="A128" s="1"/>
      <c r="B128" s="1"/>
      <c r="D128" s="1"/>
      <c r="E128" s="1"/>
      <c r="F128" s="1"/>
    </row>
    <row r="129" spans="1:6">
      <c r="A129" s="1"/>
      <c r="B129" s="1"/>
      <c r="D129" s="1"/>
      <c r="E129" s="1"/>
      <c r="F129" s="1"/>
    </row>
    <row r="130" spans="1:6">
      <c r="A130" s="1"/>
      <c r="B130" s="1"/>
      <c r="D130" s="1"/>
      <c r="E130" s="1"/>
      <c r="F130" s="1"/>
    </row>
    <row r="131" spans="1:6">
      <c r="A131" s="1"/>
      <c r="B131" s="1"/>
      <c r="D131" s="1"/>
      <c r="E131" s="1"/>
      <c r="F131" s="1"/>
    </row>
    <row r="132" spans="1:6">
      <c r="A132" s="1"/>
      <c r="B132" s="1"/>
      <c r="D132" s="1"/>
      <c r="E132" s="1"/>
      <c r="F132" s="1"/>
    </row>
    <row r="133" spans="1:6">
      <c r="A133" s="1"/>
      <c r="B133" s="1"/>
      <c r="D133" s="1"/>
      <c r="E133" s="1"/>
      <c r="F133" s="1"/>
    </row>
    <row r="134" spans="1:6">
      <c r="A134" s="1"/>
      <c r="B134" s="1"/>
      <c r="D134" s="1"/>
      <c r="E134" s="1"/>
      <c r="F134" s="1"/>
    </row>
    <row r="135" spans="1:6">
      <c r="A135" s="1"/>
      <c r="B135" s="1"/>
      <c r="D135" s="1"/>
      <c r="E135" s="1"/>
      <c r="F135" s="1"/>
    </row>
    <row r="136" spans="1:6">
      <c r="A136" s="1"/>
      <c r="B136" s="1"/>
      <c r="D136" s="1"/>
      <c r="E136" s="1"/>
      <c r="F136" s="1"/>
    </row>
    <row r="137" spans="1:6">
      <c r="A137" s="1"/>
      <c r="B137" s="1"/>
      <c r="D137" s="1"/>
      <c r="E137" s="1"/>
      <c r="F137" s="1"/>
    </row>
    <row r="138" spans="1:6">
      <c r="A138" s="1"/>
      <c r="B138" s="1"/>
      <c r="D138" s="1"/>
      <c r="E138" s="1"/>
      <c r="F138" s="1"/>
    </row>
    <row r="139" spans="1:6">
      <c r="A139" s="1"/>
      <c r="B139" s="1"/>
      <c r="D139" s="1"/>
      <c r="E139" s="1"/>
      <c r="F139" s="1"/>
    </row>
    <row r="140" spans="1:6">
      <c r="A140" s="1"/>
      <c r="B140" s="1"/>
      <c r="D140" s="1"/>
      <c r="E140" s="1"/>
      <c r="F140" s="1"/>
    </row>
    <row r="141" spans="1:6">
      <c r="A141" s="1"/>
      <c r="B141" s="1"/>
      <c r="D141" s="1"/>
      <c r="E141" s="1"/>
      <c r="F141" s="1"/>
    </row>
    <row r="142" spans="1:6">
      <c r="A142" s="1"/>
      <c r="B142" s="1"/>
      <c r="D142" s="1"/>
      <c r="E142" s="1"/>
      <c r="F142" s="1"/>
    </row>
    <row r="143" spans="1:6">
      <c r="A143" s="1"/>
      <c r="B143" s="1"/>
      <c r="D143" s="1"/>
      <c r="E143" s="1"/>
      <c r="F143" s="1"/>
    </row>
    <row r="144" spans="1:6">
      <c r="A144" s="1"/>
      <c r="B144" s="1"/>
      <c r="D144" s="1"/>
      <c r="E144" s="1"/>
      <c r="F144" s="1"/>
    </row>
    <row r="145" spans="1:6">
      <c r="A145" s="1"/>
      <c r="B145" s="1"/>
      <c r="D145" s="1"/>
      <c r="E145" s="1"/>
      <c r="F145" s="1"/>
    </row>
    <row r="146" spans="1:6">
      <c r="A146" s="1"/>
      <c r="B146" s="1"/>
      <c r="D146" s="1"/>
      <c r="E146" s="1"/>
      <c r="F146" s="1"/>
    </row>
    <row r="147" spans="1:6">
      <c r="A147" s="1"/>
      <c r="B147" s="1"/>
      <c r="D147" s="1"/>
      <c r="E147" s="1"/>
      <c r="F147" s="1"/>
    </row>
    <row r="148" spans="1:6">
      <c r="A148" s="1"/>
      <c r="B148" s="1"/>
      <c r="D148" s="1"/>
      <c r="E148" s="1"/>
      <c r="F148" s="1"/>
    </row>
    <row r="149" spans="1:6">
      <c r="A149" s="1"/>
      <c r="B149" s="1"/>
      <c r="D149" s="1"/>
      <c r="E149" s="1"/>
      <c r="F149" s="1"/>
    </row>
    <row r="150" spans="1:6">
      <c r="A150" s="1"/>
      <c r="B150" s="1"/>
      <c r="D150" s="1"/>
      <c r="E150" s="1"/>
      <c r="F150" s="1"/>
    </row>
    <row r="151" spans="1:6">
      <c r="A151" s="1"/>
      <c r="B151" s="1"/>
      <c r="D151" s="1"/>
      <c r="E151" s="1"/>
      <c r="F151" s="1"/>
    </row>
    <row r="152" spans="1:6">
      <c r="A152" s="1"/>
      <c r="B152" s="1"/>
      <c r="D152" s="1"/>
      <c r="E152" s="1"/>
      <c r="F152" s="1"/>
    </row>
    <row r="153" spans="1:6">
      <c r="A153" s="1"/>
      <c r="B153" s="1"/>
      <c r="D153" s="1"/>
      <c r="E153" s="1"/>
      <c r="F153" s="1"/>
    </row>
    <row r="154" spans="1:6">
      <c r="A154" s="1"/>
      <c r="B154" s="1"/>
      <c r="D154" s="1"/>
      <c r="E154" s="1"/>
      <c r="F154" s="1"/>
    </row>
    <row r="155" spans="1:6">
      <c r="A155" s="1"/>
      <c r="B155" s="1"/>
      <c r="D155" s="1"/>
      <c r="E155" s="1"/>
      <c r="F155" s="1"/>
    </row>
    <row r="156" spans="1:6">
      <c r="A156" s="1"/>
      <c r="B156" s="1"/>
      <c r="D156" s="1"/>
      <c r="E156" s="1"/>
      <c r="F156" s="1"/>
    </row>
    <row r="157" spans="1:6">
      <c r="A157" s="1"/>
      <c r="B157" s="1"/>
      <c r="D157" s="1"/>
      <c r="E157" s="1"/>
      <c r="F157" s="1"/>
    </row>
    <row r="158" spans="1:6">
      <c r="A158" s="1"/>
      <c r="B158" s="1"/>
      <c r="D158" s="1"/>
      <c r="E158" s="1"/>
      <c r="F158" s="1"/>
    </row>
    <row r="159" spans="1:6">
      <c r="A159" s="1"/>
      <c r="B159" s="1"/>
      <c r="D159" s="1"/>
      <c r="E159" s="1"/>
      <c r="F159" s="1"/>
    </row>
    <row r="160" spans="1:6">
      <c r="A160" s="1"/>
      <c r="B160" s="1"/>
      <c r="D160" s="1"/>
      <c r="E160" s="1"/>
      <c r="F160" s="1"/>
    </row>
    <row r="161" spans="1:6">
      <c r="A161" s="1"/>
      <c r="B161" s="1"/>
      <c r="D161" s="1"/>
      <c r="E161" s="1"/>
      <c r="F161" s="1"/>
    </row>
    <row r="162" spans="1:6">
      <c r="A162" s="1"/>
      <c r="B162" s="1"/>
      <c r="D162" s="1"/>
      <c r="E162" s="1"/>
      <c r="F162" s="1"/>
    </row>
    <row r="163" spans="1:6">
      <c r="A163" s="1"/>
      <c r="B163" s="1"/>
      <c r="D163" s="1"/>
      <c r="E163" s="1"/>
      <c r="F163" s="1"/>
    </row>
    <row r="164" spans="1:6">
      <c r="A164" s="1"/>
      <c r="B164" s="1"/>
      <c r="D164" s="1"/>
      <c r="E164" s="1"/>
      <c r="F164" s="1"/>
    </row>
    <row r="165" spans="1:6">
      <c r="A165" s="1"/>
      <c r="B165" s="1"/>
      <c r="D165" s="1"/>
      <c r="E165" s="1"/>
      <c r="F165" s="1"/>
    </row>
    <row r="166" spans="1:6">
      <c r="A166" s="1"/>
      <c r="B166" s="1"/>
      <c r="D166" s="1"/>
      <c r="E166" s="1"/>
      <c r="F166" s="1"/>
    </row>
    <row r="167" spans="1:6">
      <c r="A167" s="1"/>
      <c r="B167" s="1"/>
      <c r="D167" s="1"/>
      <c r="E167" s="1"/>
      <c r="F167" s="1"/>
    </row>
    <row r="168" spans="1:6">
      <c r="A168" s="1"/>
      <c r="B168" s="1"/>
      <c r="D168" s="1"/>
      <c r="E168" s="1"/>
      <c r="F168" s="1"/>
    </row>
    <row r="169" spans="1:6">
      <c r="A169" s="1"/>
      <c r="B169" s="1"/>
      <c r="D169" s="1"/>
      <c r="E169" s="14"/>
      <c r="F169" s="1"/>
    </row>
    <row r="170" spans="1:6">
      <c r="A170" s="14"/>
      <c r="B170" s="1"/>
      <c r="D170" s="1"/>
      <c r="E170" s="1"/>
      <c r="F170" s="1"/>
    </row>
    <row r="171" spans="1:6">
      <c r="A171" s="1"/>
      <c r="B171" s="1"/>
      <c r="D171" s="1"/>
      <c r="E171" s="1"/>
      <c r="F171" s="1"/>
    </row>
    <row r="172" spans="1:6">
      <c r="A172" s="1"/>
      <c r="B172" s="1"/>
      <c r="D172" s="1"/>
      <c r="E172" s="1"/>
      <c r="F172" s="1"/>
    </row>
    <row r="173" spans="1:6">
      <c r="A173" s="1"/>
      <c r="B173" s="1"/>
      <c r="D173" s="1"/>
      <c r="E173" s="1"/>
      <c r="F173" s="1"/>
    </row>
    <row r="174" spans="1:6">
      <c r="A174" s="1"/>
      <c r="B174" s="1"/>
      <c r="D174" s="1"/>
      <c r="E174" s="1"/>
      <c r="F174" s="1"/>
    </row>
    <row r="175" spans="1:6">
      <c r="A175" s="1"/>
      <c r="B175" s="1"/>
      <c r="D175" s="1"/>
      <c r="E175" s="1"/>
      <c r="F175" s="1"/>
    </row>
    <row r="176" spans="1:6">
      <c r="A176" s="1"/>
      <c r="B176" s="1"/>
      <c r="D176" s="1"/>
      <c r="E176" s="1"/>
      <c r="F176" s="1"/>
    </row>
    <row r="177" spans="1:6">
      <c r="A177" s="1"/>
      <c r="B177" s="1"/>
      <c r="D177" s="1"/>
      <c r="E177" s="1"/>
      <c r="F177" s="1"/>
    </row>
    <row r="178" spans="1:6">
      <c r="A178" s="1"/>
      <c r="B178" s="1"/>
      <c r="D178" s="1"/>
      <c r="E178" s="1"/>
      <c r="F178" s="1"/>
    </row>
    <row r="179" spans="1:6">
      <c r="A179" s="1"/>
      <c r="B179" s="1"/>
      <c r="D179" s="1"/>
      <c r="E179" s="1"/>
      <c r="F179" s="1"/>
    </row>
    <row r="180" spans="1:6">
      <c r="A180" s="1"/>
      <c r="B180" s="1"/>
      <c r="D180" s="1"/>
      <c r="E180" s="1"/>
      <c r="F180" s="1"/>
    </row>
    <row r="181" spans="1:6">
      <c r="A181" s="1"/>
      <c r="B181" s="1"/>
      <c r="D181" s="1"/>
      <c r="E181" s="1"/>
      <c r="F181" s="1"/>
    </row>
    <row r="182" spans="1:6">
      <c r="A182" s="1"/>
      <c r="B182" s="1"/>
      <c r="D182" s="1"/>
      <c r="E182" s="1"/>
      <c r="F182" s="1"/>
    </row>
    <row r="183" spans="1:6">
      <c r="A183" s="1"/>
      <c r="B183" s="1"/>
      <c r="D183" s="1"/>
      <c r="E183" s="1"/>
      <c r="F183" s="1"/>
    </row>
    <row r="184" spans="1:6">
      <c r="A184" s="1"/>
      <c r="B184" s="1"/>
      <c r="D184" s="1"/>
      <c r="E184" s="1"/>
      <c r="F184" s="1"/>
    </row>
    <row r="185" spans="1:6">
      <c r="A185" s="1"/>
      <c r="B185" s="1"/>
      <c r="D185" s="1"/>
      <c r="E185" s="1"/>
      <c r="F185" s="1"/>
    </row>
    <row r="186" spans="1:6">
      <c r="A186" s="1"/>
      <c r="B186" s="1"/>
      <c r="D186" s="1"/>
      <c r="E186" s="1"/>
      <c r="F186" s="1"/>
    </row>
    <row r="187" spans="1:6">
      <c r="A187" s="1"/>
      <c r="B187" s="1"/>
      <c r="D187" s="1"/>
      <c r="E187" s="1"/>
      <c r="F187" s="1"/>
    </row>
    <row r="188" spans="1:6">
      <c r="A188" s="1"/>
      <c r="B188" s="1"/>
      <c r="D188" s="1"/>
      <c r="E188" s="14"/>
      <c r="F188" s="1"/>
    </row>
    <row r="189" spans="1:6">
      <c r="A189" s="14"/>
      <c r="B189" s="1"/>
      <c r="D189" s="1"/>
      <c r="E189" s="1"/>
      <c r="F189" s="1"/>
    </row>
    <row r="190" spans="1:6">
      <c r="A190" s="1"/>
      <c r="B190" s="1"/>
      <c r="D190" s="1"/>
      <c r="E190" s="1"/>
      <c r="F190" s="1"/>
    </row>
    <row r="191" spans="1:6">
      <c r="A191" s="1"/>
      <c r="B191" s="1"/>
      <c r="D191" s="1"/>
      <c r="E191" s="1"/>
      <c r="F191" s="1"/>
    </row>
    <row r="192" spans="1:6">
      <c r="A192" s="1"/>
      <c r="B192" s="1"/>
      <c r="D192" s="1"/>
      <c r="E192" s="1"/>
      <c r="F192" s="1"/>
    </row>
    <row r="193" spans="1:6">
      <c r="A193" s="1"/>
      <c r="B193" s="1"/>
      <c r="D193" s="1"/>
      <c r="E193" s="1"/>
      <c r="F193" s="1"/>
    </row>
    <row r="194" spans="1:6">
      <c r="A194" s="1"/>
      <c r="B194" s="1"/>
      <c r="D194" s="1"/>
      <c r="E194" s="1"/>
      <c r="F194" s="1"/>
    </row>
    <row r="195" spans="1:6">
      <c r="A195" s="1"/>
      <c r="B195" s="1"/>
      <c r="D195" s="1"/>
      <c r="E195" s="1"/>
      <c r="F195" s="1"/>
    </row>
    <row r="196" spans="1:6">
      <c r="A196" s="1"/>
      <c r="B196" s="1"/>
      <c r="D196" s="1"/>
      <c r="E196" s="1"/>
      <c r="F196" s="1"/>
    </row>
    <row r="197" spans="1:6">
      <c r="A197" s="1"/>
      <c r="B197" s="1"/>
      <c r="D197" s="1"/>
      <c r="E197" s="1"/>
      <c r="F197" s="1"/>
    </row>
    <row r="198" spans="1:6">
      <c r="A198" s="1"/>
      <c r="B198" s="1"/>
      <c r="D198" s="1"/>
      <c r="E198" s="1"/>
      <c r="F198" s="1"/>
    </row>
    <row r="199" spans="1:6">
      <c r="A199" s="1"/>
      <c r="B199" s="1"/>
      <c r="D199" s="1"/>
      <c r="E199" s="1"/>
      <c r="F199" s="1"/>
    </row>
    <row r="200" spans="1:6">
      <c r="A200" s="1"/>
      <c r="B200" s="1"/>
      <c r="D200" s="1"/>
      <c r="E200" s="1"/>
      <c r="F200" s="1"/>
    </row>
    <row r="201" spans="1:6">
      <c r="A201" s="1"/>
      <c r="B201" s="1"/>
      <c r="D201" s="1"/>
      <c r="E201" s="1"/>
      <c r="F201" s="1"/>
    </row>
    <row r="202" spans="1:6">
      <c r="A202" s="1"/>
      <c r="B202" s="1"/>
      <c r="D202" s="1"/>
      <c r="E202" s="1"/>
      <c r="F202" s="1"/>
    </row>
    <row r="203" spans="1:6">
      <c r="A203" s="1"/>
      <c r="B203" s="1"/>
      <c r="D203" s="1"/>
      <c r="E203" s="1"/>
      <c r="F203" s="1"/>
    </row>
    <row r="204" spans="1:6">
      <c r="A204" s="1"/>
      <c r="B204" s="1"/>
      <c r="D204" s="1"/>
      <c r="E204" s="1"/>
      <c r="F204" s="1"/>
    </row>
    <row r="205" spans="1:6">
      <c r="A205" s="1"/>
      <c r="B205" s="1"/>
      <c r="D205" s="1"/>
      <c r="E205" s="1"/>
      <c r="F205" s="1"/>
    </row>
    <row r="206" spans="1:6">
      <c r="A206" s="1"/>
      <c r="B206" s="1"/>
      <c r="D206" s="1"/>
      <c r="E206" s="1"/>
      <c r="F206" s="1"/>
    </row>
    <row r="207" spans="1:6">
      <c r="A207" s="1"/>
      <c r="B207" s="1"/>
      <c r="D207" s="1"/>
      <c r="E207" s="1"/>
      <c r="F207" s="1"/>
    </row>
    <row r="208" spans="1:6">
      <c r="A208" s="1"/>
      <c r="B208" s="1"/>
      <c r="D208" s="1"/>
      <c r="E208" s="1"/>
      <c r="F208" s="1"/>
    </row>
    <row r="209" spans="1:6">
      <c r="A209" s="1"/>
      <c r="B209" s="1"/>
      <c r="D209" s="1"/>
      <c r="E209" s="1"/>
      <c r="F209" s="1"/>
    </row>
    <row r="210" spans="1:6">
      <c r="A210" s="1"/>
      <c r="B210" s="1"/>
      <c r="D210" s="1"/>
      <c r="E210" s="1"/>
      <c r="F210" s="1"/>
    </row>
    <row r="211" spans="1:6">
      <c r="A211" s="1"/>
      <c r="B211" s="1"/>
      <c r="D211" s="1"/>
      <c r="E211" s="1"/>
      <c r="F211" s="1"/>
    </row>
    <row r="212" spans="1:6">
      <c r="A212" s="1"/>
      <c r="B212" s="1"/>
      <c r="D212" s="1"/>
      <c r="E212" s="1"/>
      <c r="F212" s="1"/>
    </row>
    <row r="213" spans="1:6">
      <c r="A213" s="1"/>
      <c r="B213" s="1"/>
      <c r="D213" s="1"/>
      <c r="E213" s="1"/>
      <c r="F213" s="1"/>
    </row>
    <row r="214" spans="1:6">
      <c r="A214" s="1"/>
      <c r="B214" s="1"/>
      <c r="D214" s="1"/>
      <c r="E214" s="1"/>
      <c r="F214" s="1"/>
    </row>
    <row r="215" spans="1:6">
      <c r="A215" s="1"/>
      <c r="B215" s="1"/>
      <c r="D215" s="1"/>
      <c r="E215" s="1"/>
      <c r="F215" s="14"/>
    </row>
    <row r="216" spans="1:6">
      <c r="A216" s="1"/>
      <c r="B216" s="1"/>
      <c r="D216" s="1"/>
      <c r="E216" s="1"/>
      <c r="F216" s="1"/>
    </row>
    <row r="217" spans="1:6">
      <c r="A217" s="1"/>
      <c r="B217" s="1"/>
      <c r="D217" s="1"/>
      <c r="E217" s="1"/>
      <c r="F217" s="1"/>
    </row>
    <row r="218" spans="1:6">
      <c r="A218" s="1"/>
      <c r="B218" s="1"/>
      <c r="D218" s="1"/>
      <c r="E218" s="1"/>
      <c r="F218" s="1"/>
    </row>
    <row r="219" spans="1:6">
      <c r="A219" s="1"/>
      <c r="B219" s="1"/>
      <c r="D219" s="1"/>
      <c r="E219" s="1"/>
      <c r="F219" s="1"/>
    </row>
    <row r="220" spans="1:6">
      <c r="A220" s="1"/>
      <c r="B220" s="1"/>
      <c r="D220" s="1"/>
      <c r="E220" s="1"/>
      <c r="F220" s="1"/>
    </row>
    <row r="221" spans="1:6">
      <c r="A221" s="1"/>
      <c r="B221" s="1"/>
      <c r="D221" s="1"/>
      <c r="E221" s="1"/>
      <c r="F221" s="1"/>
    </row>
    <row r="222" spans="1:6">
      <c r="A222" s="1"/>
      <c r="B222" s="1"/>
      <c r="D222" s="1"/>
      <c r="E222" s="1"/>
      <c r="F222" s="1"/>
    </row>
    <row r="223" spans="1:6">
      <c r="A223" s="1"/>
      <c r="B223" s="1"/>
      <c r="D223" s="1"/>
      <c r="E223" s="1"/>
      <c r="F223" s="1"/>
    </row>
    <row r="224" spans="1:6">
      <c r="A224" s="1"/>
      <c r="B224" s="1"/>
      <c r="D224" s="1"/>
      <c r="E224" s="1"/>
      <c r="F224" s="1"/>
    </row>
    <row r="225" spans="1:6">
      <c r="A225" s="1"/>
      <c r="B225" s="1"/>
      <c r="D225" s="1"/>
      <c r="E225" s="1"/>
      <c r="F225" s="1"/>
    </row>
    <row r="226" spans="1:6">
      <c r="A226" s="1"/>
      <c r="B226" s="1"/>
      <c r="D226" s="1"/>
      <c r="E226" s="1"/>
      <c r="F226" s="1"/>
    </row>
    <row r="227" spans="1:6">
      <c r="A227" s="1"/>
      <c r="B227" s="1"/>
      <c r="D227" s="1"/>
      <c r="E227" s="1"/>
      <c r="F227" s="1"/>
    </row>
    <row r="228" spans="1:6">
      <c r="A228" s="1"/>
      <c r="B228" s="1"/>
      <c r="D228" s="1"/>
      <c r="E228" s="1"/>
      <c r="F228" s="1"/>
    </row>
    <row r="229" spans="1:6">
      <c r="A229" s="1"/>
      <c r="B229" s="1"/>
      <c r="D229" s="1"/>
      <c r="E229" s="1"/>
      <c r="F229" s="1"/>
    </row>
    <row r="230" spans="1:6">
      <c r="A230" s="1"/>
      <c r="B230" s="1"/>
      <c r="D230" s="1"/>
      <c r="E230" s="1"/>
      <c r="F230" s="1"/>
    </row>
    <row r="231" spans="1:6">
      <c r="A231" s="1"/>
      <c r="B231" s="1"/>
      <c r="D231" s="1"/>
      <c r="E231" s="1"/>
      <c r="F231" s="1"/>
    </row>
    <row r="232" spans="1:6">
      <c r="A232" s="1"/>
      <c r="B232" s="1"/>
      <c r="D232" s="1"/>
      <c r="E232" s="1"/>
      <c r="F232" s="1"/>
    </row>
    <row r="233" spans="1:6">
      <c r="A233" s="1"/>
      <c r="B233" s="1"/>
      <c r="D233" s="1"/>
      <c r="E233" s="1"/>
      <c r="F233" s="1"/>
    </row>
    <row r="234" spans="1:6">
      <c r="A234" s="1"/>
      <c r="B234" s="1"/>
      <c r="D234" s="1"/>
      <c r="E234" s="1"/>
      <c r="F234" s="1"/>
    </row>
    <row r="235" spans="1:6">
      <c r="A235" s="1"/>
      <c r="B235" s="1"/>
      <c r="D235" s="1"/>
      <c r="E235" s="1"/>
      <c r="F235" s="1"/>
    </row>
    <row r="236" spans="1:6">
      <c r="A236" s="1"/>
      <c r="B236" s="1"/>
      <c r="D236" s="1"/>
      <c r="E236" s="1"/>
      <c r="F236" s="1"/>
    </row>
    <row r="237" spans="1:6">
      <c r="A237" s="1"/>
      <c r="B237" s="1"/>
      <c r="D237" s="1"/>
      <c r="E237" s="1"/>
      <c r="F237" s="1"/>
    </row>
    <row r="238" spans="1:6">
      <c r="A238" s="1"/>
      <c r="B238" s="1"/>
      <c r="D238" s="1"/>
      <c r="E238" s="1"/>
      <c r="F238" s="1"/>
    </row>
    <row r="239" spans="1:6">
      <c r="A239" s="1"/>
      <c r="B239" s="1"/>
      <c r="D239" s="1"/>
      <c r="E239" s="1"/>
      <c r="F239" s="1"/>
    </row>
    <row r="240" spans="1:6">
      <c r="A240" s="1"/>
      <c r="B240" s="1"/>
      <c r="D240" s="1"/>
      <c r="E240" s="1"/>
      <c r="F240" s="1"/>
    </row>
    <row r="241" spans="1:6">
      <c r="A241" s="1"/>
      <c r="B241" s="1"/>
      <c r="D241" s="1"/>
      <c r="E241" s="1"/>
      <c r="F241" s="1"/>
    </row>
    <row r="242" spans="1:6">
      <c r="A242" s="1"/>
      <c r="B242" s="1"/>
      <c r="D242" s="1"/>
      <c r="E242" s="1"/>
      <c r="F242" s="1"/>
    </row>
    <row r="243" spans="1:6">
      <c r="A243" s="1"/>
      <c r="B243" s="1"/>
      <c r="D243" s="1"/>
      <c r="E243" s="1"/>
      <c r="F243" s="1"/>
    </row>
    <row r="244" spans="1:6">
      <c r="A244" s="1"/>
      <c r="B244" s="1"/>
      <c r="D244" s="1"/>
      <c r="E244" s="14"/>
      <c r="F244" s="1"/>
    </row>
    <row r="245" spans="1:6">
      <c r="A245" s="14"/>
      <c r="B245" s="1"/>
      <c r="D245" s="1"/>
      <c r="E245" s="1"/>
      <c r="F245" s="1"/>
    </row>
    <row r="246" spans="1:6">
      <c r="A246" s="1"/>
      <c r="B246" s="1"/>
      <c r="D246" s="1"/>
      <c r="E246" s="1"/>
      <c r="F246" s="1"/>
    </row>
    <row r="247" spans="1:6">
      <c r="A247" s="1"/>
      <c r="B247" s="1"/>
      <c r="D247" s="1"/>
      <c r="E247" s="1"/>
      <c r="F247" s="1"/>
    </row>
    <row r="248" spans="1:6">
      <c r="A248" s="1"/>
      <c r="B248" s="1"/>
      <c r="D248" s="1"/>
      <c r="E248" s="1"/>
      <c r="F248" s="1"/>
    </row>
    <row r="249" spans="1:6">
      <c r="A249" s="1"/>
      <c r="B249" s="1"/>
      <c r="D249" s="1"/>
      <c r="E249" s="1"/>
      <c r="F249" s="1"/>
    </row>
    <row r="250" spans="1:6">
      <c r="A250" s="1"/>
      <c r="B250" s="1"/>
      <c r="D250" s="1"/>
      <c r="E250" s="1"/>
      <c r="F250" s="1"/>
    </row>
    <row r="251" spans="1:6">
      <c r="A251" s="1"/>
      <c r="B251" s="1"/>
      <c r="D251" s="1"/>
      <c r="E251" s="1"/>
      <c r="F251" s="1"/>
    </row>
    <row r="252" spans="1:6">
      <c r="A252" s="1"/>
      <c r="B252" s="1"/>
      <c r="D252" s="1"/>
      <c r="E252" s="1"/>
      <c r="F252" s="1"/>
    </row>
    <row r="253" spans="1:6">
      <c r="A253" s="1"/>
      <c r="B253" s="1"/>
      <c r="D253" s="1"/>
      <c r="E253" s="1"/>
      <c r="F253" s="1"/>
    </row>
    <row r="254" spans="1:6">
      <c r="A254" s="1"/>
      <c r="B254" s="1"/>
      <c r="D254" s="1"/>
      <c r="E254" s="1"/>
      <c r="F254" s="1"/>
    </row>
    <row r="255" spans="1:6">
      <c r="A255" s="1"/>
      <c r="B255" s="1"/>
      <c r="D255" s="1"/>
      <c r="E255" s="1"/>
      <c r="F255" s="1"/>
    </row>
    <row r="256" spans="1:6">
      <c r="A256" s="1"/>
      <c r="B256" s="1"/>
      <c r="D256" s="1"/>
      <c r="E256" s="1"/>
      <c r="F256" s="1"/>
    </row>
    <row r="257" spans="1:6">
      <c r="A257" s="1"/>
      <c r="B257" s="1"/>
      <c r="D257" s="1"/>
      <c r="E257" s="1"/>
      <c r="F257" s="1"/>
    </row>
    <row r="258" spans="1:6">
      <c r="A258" s="1"/>
      <c r="B258" s="1"/>
      <c r="D258" s="1"/>
      <c r="E258" s="1"/>
      <c r="F258" s="1"/>
    </row>
    <row r="259" spans="1:6">
      <c r="A259" s="1"/>
      <c r="B259" s="1"/>
      <c r="D259" s="1"/>
      <c r="E259" s="1"/>
      <c r="F259" s="1"/>
    </row>
    <row r="260" spans="1:6">
      <c r="A260" s="1"/>
      <c r="B260" s="1"/>
      <c r="D260" s="1"/>
      <c r="E260" s="1"/>
      <c r="F260" s="1"/>
    </row>
    <row r="261" spans="1:6">
      <c r="A261" s="1"/>
      <c r="B261" s="1"/>
      <c r="D261" s="1"/>
      <c r="E261" s="1"/>
      <c r="F261" s="1"/>
    </row>
    <row r="262" spans="1:6">
      <c r="A262" s="1"/>
      <c r="B262" s="1"/>
      <c r="D262" s="1"/>
      <c r="E262" s="1"/>
      <c r="F262" s="1"/>
    </row>
    <row r="263" spans="1:6">
      <c r="A263" s="1"/>
      <c r="B263" s="1"/>
      <c r="D263" s="1"/>
      <c r="E263" s="1"/>
      <c r="F263" s="1"/>
    </row>
    <row r="264" spans="1:6">
      <c r="A264" s="1"/>
      <c r="B264" s="1"/>
      <c r="D264" s="1"/>
      <c r="E264" s="1"/>
      <c r="F264" s="1"/>
    </row>
    <row r="265" spans="1:6">
      <c r="A265" s="1"/>
      <c r="B265" s="1"/>
      <c r="D265" s="1"/>
      <c r="E265" s="1"/>
      <c r="F265" s="1"/>
    </row>
    <row r="266" spans="1:6">
      <c r="A266" s="1"/>
      <c r="B266" s="1"/>
      <c r="D266" s="1"/>
      <c r="E266" s="1"/>
      <c r="F266" s="1"/>
    </row>
    <row r="267" spans="1:6">
      <c r="A267" s="1"/>
      <c r="B267" s="1"/>
      <c r="D267" s="1"/>
      <c r="E267" s="1"/>
      <c r="F267" s="1"/>
    </row>
    <row r="268" spans="1:6">
      <c r="A268" s="1"/>
      <c r="B268" s="1"/>
      <c r="D268" s="1"/>
      <c r="E268" s="1"/>
      <c r="F268" s="1"/>
    </row>
    <row r="269" spans="1:6">
      <c r="A269" s="1"/>
      <c r="B269" s="1"/>
      <c r="D269" s="1"/>
      <c r="E269" s="1"/>
      <c r="F269" s="1"/>
    </row>
    <row r="270" spans="1:6">
      <c r="A270" s="1"/>
      <c r="B270" s="1"/>
      <c r="D270" s="1"/>
      <c r="E270" s="1"/>
      <c r="F270" s="1"/>
    </row>
    <row r="271" spans="1:6">
      <c r="A271" s="1"/>
      <c r="B271" s="1"/>
      <c r="D271" s="1"/>
      <c r="E271" s="1"/>
      <c r="F271" s="1"/>
    </row>
    <row r="272" spans="1:6">
      <c r="A272" s="1"/>
      <c r="B272" s="1"/>
      <c r="D272" s="1"/>
      <c r="E272" s="1"/>
      <c r="F272" s="1"/>
    </row>
    <row r="273" spans="1:6">
      <c r="A273" s="1"/>
      <c r="B273" s="1"/>
      <c r="D273" s="1"/>
      <c r="E273" s="1"/>
      <c r="F273" s="1"/>
    </row>
    <row r="274" spans="1:6">
      <c r="A274" s="1"/>
      <c r="B274" s="1"/>
      <c r="D274" s="1"/>
      <c r="E274" s="1"/>
      <c r="F274" s="1"/>
    </row>
    <row r="275" spans="1:6">
      <c r="A275" s="1"/>
      <c r="B275" s="1"/>
      <c r="D275" s="1"/>
      <c r="E275" s="1"/>
      <c r="F275" s="1"/>
    </row>
    <row r="276" spans="1:6">
      <c r="A276" s="1"/>
      <c r="B276" s="1"/>
      <c r="D276" s="1"/>
      <c r="E276" s="1"/>
      <c r="F276" s="1"/>
    </row>
    <row r="277" spans="1:6">
      <c r="A277" s="1"/>
      <c r="B277" s="1"/>
      <c r="D277" s="1"/>
      <c r="E277" s="1"/>
      <c r="F277" s="1"/>
    </row>
    <row r="278" spans="1:6">
      <c r="A278" s="1"/>
      <c r="B278" s="1"/>
      <c r="D278" s="1"/>
      <c r="E278" s="1"/>
      <c r="F278" s="1"/>
    </row>
    <row r="279" spans="1:6">
      <c r="A279" s="1"/>
      <c r="B279" s="1"/>
      <c r="D279" s="1"/>
      <c r="E279" s="1"/>
      <c r="F279" s="1"/>
    </row>
    <row r="280" spans="1:6">
      <c r="A280" s="1"/>
      <c r="B280" s="1"/>
      <c r="D280" s="1"/>
      <c r="E280" s="1"/>
      <c r="F280" s="1"/>
    </row>
    <row r="281" spans="1:6">
      <c r="A281" s="1"/>
      <c r="B281" s="1"/>
      <c r="D281" s="1"/>
      <c r="E281" s="1"/>
      <c r="F281" s="1"/>
    </row>
    <row r="282" spans="1:6">
      <c r="A282" s="1"/>
      <c r="B282" s="1"/>
      <c r="D282" s="1"/>
      <c r="E282" s="1"/>
      <c r="F282" s="1"/>
    </row>
    <row r="283" spans="1:6">
      <c r="A283" s="1"/>
      <c r="B283" s="1"/>
      <c r="D283" s="1"/>
      <c r="E283" s="1"/>
      <c r="F283" s="1"/>
    </row>
    <row r="284" spans="1:6">
      <c r="A284" s="1"/>
      <c r="B284" s="1"/>
      <c r="D284" s="1"/>
      <c r="E284" s="1"/>
      <c r="F284" s="1"/>
    </row>
    <row r="285" spans="1:6">
      <c r="A285" s="1"/>
      <c r="B285" s="1"/>
      <c r="D285" s="1"/>
      <c r="E285" s="1"/>
      <c r="F285" s="1"/>
    </row>
    <row r="286" spans="1:6">
      <c r="A286" s="1"/>
      <c r="B286" s="1"/>
      <c r="D286" s="1"/>
      <c r="E286" s="1"/>
      <c r="F286" s="1"/>
    </row>
    <row r="287" spans="1:6">
      <c r="A287" s="1"/>
      <c r="B287" s="1"/>
      <c r="D287" s="1"/>
      <c r="E287" s="1"/>
      <c r="F287" s="1"/>
    </row>
    <row r="288" spans="1:6">
      <c r="A288" s="1"/>
      <c r="B288" s="1"/>
      <c r="D288" s="1"/>
      <c r="E288" s="1"/>
      <c r="F288" s="1"/>
    </row>
    <row r="289" spans="1:6">
      <c r="A289" s="1"/>
      <c r="B289" s="1"/>
      <c r="D289" s="1"/>
      <c r="E289" s="1"/>
      <c r="F289" s="1"/>
    </row>
    <row r="290" spans="1:6">
      <c r="A290" s="1"/>
      <c r="B290" s="1"/>
      <c r="D290" s="1"/>
      <c r="E290" s="1"/>
      <c r="F290" s="1"/>
    </row>
    <row r="291" spans="1:6">
      <c r="A291" s="1"/>
      <c r="B291" s="1"/>
      <c r="D291" s="1"/>
      <c r="E291" s="1"/>
      <c r="F291" s="1"/>
    </row>
    <row r="292" spans="1:6">
      <c r="A292" s="1"/>
      <c r="B292" s="1"/>
      <c r="D292" s="1"/>
      <c r="E292" s="1"/>
      <c r="F292" s="1"/>
    </row>
    <row r="293" spans="1:6">
      <c r="A293" s="1"/>
      <c r="B293" s="1"/>
      <c r="D293" s="1"/>
      <c r="E293" s="1"/>
      <c r="F293" s="1"/>
    </row>
    <row r="294" spans="1:6">
      <c r="A294" s="1"/>
      <c r="B294" s="1"/>
      <c r="D294" s="1"/>
      <c r="E294" s="1"/>
      <c r="F294" s="1"/>
    </row>
    <row r="295" spans="1:6">
      <c r="A295" s="1"/>
      <c r="B295" s="1"/>
      <c r="D295" s="1"/>
      <c r="E295" s="1"/>
      <c r="F295" s="1"/>
    </row>
    <row r="296" spans="1:6">
      <c r="A296" s="1"/>
      <c r="B296" s="1"/>
      <c r="D296" s="1"/>
      <c r="E296" s="1"/>
      <c r="F296" s="1"/>
    </row>
    <row r="297" spans="1:6">
      <c r="A297" s="1"/>
      <c r="B297" s="1"/>
      <c r="D297" s="1"/>
      <c r="E297" s="1"/>
      <c r="F297" s="1"/>
    </row>
    <row r="298" spans="1:6">
      <c r="A298" s="1"/>
      <c r="B298" s="1"/>
      <c r="D298" s="1"/>
      <c r="E298" s="1"/>
      <c r="F298" s="1"/>
    </row>
    <row r="299" spans="1:6">
      <c r="A299" s="1"/>
      <c r="B299" s="1"/>
      <c r="D299" s="1"/>
      <c r="E299" s="1"/>
      <c r="F299" s="1"/>
    </row>
    <row r="300" spans="1:6">
      <c r="A300" s="1"/>
      <c r="B300" s="1"/>
      <c r="D300" s="1"/>
      <c r="E300" s="14"/>
      <c r="F300" s="1"/>
    </row>
    <row r="301" spans="1:6">
      <c r="A301" s="14"/>
      <c r="B301" s="1"/>
      <c r="D301" s="1"/>
      <c r="E301" s="1"/>
      <c r="F301" s="1"/>
    </row>
    <row r="302" spans="1:6">
      <c r="A302" s="1"/>
      <c r="B302" s="1"/>
      <c r="D302" s="1"/>
      <c r="E302" s="1"/>
      <c r="F302" s="1"/>
    </row>
    <row r="303" spans="1:6">
      <c r="A303" s="1"/>
      <c r="B303" s="1"/>
      <c r="D303" s="1"/>
      <c r="E303" s="1"/>
      <c r="F303" s="1"/>
    </row>
    <row r="304" spans="1:6">
      <c r="A304" s="1"/>
      <c r="B304" s="1"/>
      <c r="D304" s="1"/>
      <c r="E304" s="1"/>
      <c r="F304" s="1"/>
    </row>
    <row r="305" spans="1:6">
      <c r="A305" s="1"/>
      <c r="B305" s="1"/>
      <c r="D305" s="1"/>
      <c r="E305" s="1"/>
      <c r="F305" s="1"/>
    </row>
    <row r="306" spans="1:6">
      <c r="A306" s="1"/>
      <c r="B306" s="1"/>
      <c r="D306" s="1"/>
      <c r="E306" s="1"/>
      <c r="F306" s="1"/>
    </row>
    <row r="307" spans="1:6">
      <c r="A307" s="1"/>
      <c r="B307" s="1"/>
      <c r="D307" s="1"/>
      <c r="E307" s="1"/>
      <c r="F307" s="1"/>
    </row>
    <row r="308" spans="1:6">
      <c r="A308" s="1"/>
      <c r="B308" s="1"/>
      <c r="D308" s="1"/>
      <c r="E308" s="1"/>
      <c r="F308" s="14"/>
    </row>
    <row r="309" spans="1:6">
      <c r="A309" s="1"/>
      <c r="B309" s="1"/>
      <c r="D309" s="1"/>
      <c r="E309" s="1"/>
      <c r="F309" s="1"/>
    </row>
    <row r="310" spans="1:6">
      <c r="A310" s="1"/>
      <c r="B310" s="1"/>
      <c r="D310" s="1"/>
      <c r="E310" s="1"/>
      <c r="F310" s="1"/>
    </row>
    <row r="311" spans="1:6">
      <c r="A311" s="1"/>
      <c r="B311" s="1"/>
      <c r="D311" s="1"/>
      <c r="E311" s="1"/>
      <c r="F311" s="1"/>
    </row>
    <row r="312" spans="1:6">
      <c r="A312" s="1"/>
      <c r="B312" s="1"/>
      <c r="D312" s="1"/>
      <c r="E312" s="1"/>
      <c r="F312" s="1"/>
    </row>
    <row r="313" spans="1:6">
      <c r="A313" s="1"/>
      <c r="B313" s="1"/>
      <c r="D313" s="1"/>
      <c r="E313" s="1"/>
      <c r="F313" s="1"/>
    </row>
    <row r="314" spans="1:6">
      <c r="A314" s="1"/>
      <c r="B314" s="1"/>
      <c r="D314" s="1"/>
      <c r="E314" s="1"/>
      <c r="F314" s="1"/>
    </row>
    <row r="315" spans="1:6">
      <c r="A315" s="1"/>
      <c r="B315" s="1"/>
      <c r="D315" s="1"/>
      <c r="E315" s="1"/>
      <c r="F315" s="1"/>
    </row>
    <row r="316" spans="1:6">
      <c r="A316" s="1"/>
      <c r="B316" s="1"/>
      <c r="D316" s="1"/>
      <c r="E316" s="1"/>
      <c r="F316" s="1"/>
    </row>
    <row r="317" spans="1:6">
      <c r="A317" s="1"/>
      <c r="B317" s="1"/>
      <c r="D317" s="1"/>
      <c r="E317" s="1"/>
      <c r="F317" s="1"/>
    </row>
    <row r="318" spans="1:6">
      <c r="A318" s="1"/>
      <c r="B318" s="1"/>
      <c r="D318" s="1"/>
      <c r="E318" s="1"/>
      <c r="F318" s="1"/>
    </row>
    <row r="319" spans="1:6">
      <c r="A319" s="1"/>
      <c r="B319" s="1"/>
      <c r="D319" s="1"/>
      <c r="E319" s="14"/>
      <c r="F319" s="1"/>
    </row>
    <row r="320" spans="1:6">
      <c r="A320" s="14"/>
      <c r="B320" s="1"/>
      <c r="D320" s="1"/>
      <c r="E320" s="1"/>
      <c r="F320" s="1"/>
    </row>
    <row r="321" spans="1:6">
      <c r="A321" s="1"/>
      <c r="B321" s="1"/>
      <c r="D321" s="1"/>
      <c r="E321" s="1"/>
      <c r="F321" s="1"/>
    </row>
    <row r="322" spans="1:6">
      <c r="A322" s="1"/>
      <c r="B322" s="1"/>
      <c r="D322" s="1"/>
      <c r="E322" s="1"/>
      <c r="F322" s="1"/>
    </row>
    <row r="323" spans="1:6">
      <c r="A323" s="1"/>
      <c r="B323" s="1"/>
      <c r="D323" s="1"/>
      <c r="E323" s="1"/>
      <c r="F323" s="1"/>
    </row>
    <row r="324" spans="1:6">
      <c r="A324" s="1"/>
      <c r="B324" s="1"/>
      <c r="D324" s="1"/>
      <c r="E324" s="1"/>
      <c r="F324" s="1"/>
    </row>
    <row r="325" spans="1:6">
      <c r="A325" s="1"/>
      <c r="B325" s="1"/>
      <c r="D325" s="1"/>
      <c r="E325" s="1"/>
      <c r="F325" s="1"/>
    </row>
    <row r="326" spans="1:6">
      <c r="A326" s="1"/>
      <c r="B326" s="1"/>
      <c r="D326" s="1"/>
      <c r="E326" s="1"/>
      <c r="F326" s="1"/>
    </row>
    <row r="327" spans="1:6">
      <c r="A327" s="1"/>
      <c r="B327" s="1"/>
      <c r="D327" s="1"/>
      <c r="E327" s="1"/>
      <c r="F327" s="1"/>
    </row>
    <row r="328" spans="1:6">
      <c r="A328" s="1"/>
      <c r="B328" s="1"/>
      <c r="D328" s="1"/>
      <c r="E328" s="1"/>
      <c r="F328" s="1"/>
    </row>
    <row r="329" spans="1:6">
      <c r="A329" s="1"/>
      <c r="B329" s="1"/>
      <c r="D329" s="1"/>
      <c r="E329" s="1"/>
      <c r="F329" s="1"/>
    </row>
    <row r="330" spans="1:6">
      <c r="A330" s="1"/>
      <c r="B330" s="1"/>
      <c r="D330" s="1"/>
      <c r="E330" s="1"/>
      <c r="F330" s="1"/>
    </row>
    <row r="331" spans="1:6">
      <c r="A331" s="1"/>
      <c r="B331" s="1"/>
      <c r="D331" s="1"/>
      <c r="E331" s="1"/>
      <c r="F331" s="1"/>
    </row>
    <row r="332" spans="1:6">
      <c r="A332" s="1"/>
      <c r="B332" s="1"/>
      <c r="D332" s="1"/>
      <c r="E332" s="1"/>
      <c r="F332" s="1"/>
    </row>
    <row r="333" spans="1:6">
      <c r="A333" s="1"/>
      <c r="B333" s="1"/>
      <c r="D333" s="1"/>
      <c r="E333" s="1"/>
      <c r="F333" s="1"/>
    </row>
    <row r="334" spans="1:6">
      <c r="A334" s="1"/>
      <c r="B334" s="1"/>
      <c r="D334" s="1"/>
      <c r="E334" s="1"/>
      <c r="F334" s="1"/>
    </row>
    <row r="335" spans="1:6">
      <c r="A335" s="1"/>
      <c r="B335" s="1"/>
      <c r="D335" s="1"/>
      <c r="E335" s="1"/>
      <c r="F335" s="1"/>
    </row>
    <row r="336" spans="1:6">
      <c r="A336" s="1"/>
      <c r="B336" s="1"/>
      <c r="D336" s="1"/>
      <c r="E336" s="1"/>
      <c r="F336" s="1"/>
    </row>
    <row r="337" spans="1:6">
      <c r="A337" s="1"/>
      <c r="B337" s="1"/>
      <c r="D337" s="1"/>
      <c r="E337" s="1"/>
      <c r="F337" s="1"/>
    </row>
    <row r="338" spans="1:6">
      <c r="A338" s="1"/>
      <c r="B338" s="1"/>
      <c r="D338" s="1"/>
      <c r="E338" s="14"/>
      <c r="F338" s="1"/>
    </row>
    <row r="339" spans="1:6">
      <c r="A339" s="14"/>
      <c r="B339" s="1"/>
      <c r="D339" s="1"/>
      <c r="E339" s="1"/>
      <c r="F339" s="1"/>
    </row>
    <row r="340" spans="1:6">
      <c r="A340" s="1"/>
      <c r="B340" s="1"/>
      <c r="D340" s="1"/>
      <c r="E340" s="1"/>
      <c r="F340" s="1"/>
    </row>
    <row r="341" spans="1:6">
      <c r="A341" s="1"/>
      <c r="B341" s="1"/>
      <c r="D341" s="1"/>
      <c r="E341" s="1"/>
      <c r="F341" s="1"/>
    </row>
    <row r="342" spans="1:6">
      <c r="A342" s="1"/>
      <c r="B342" s="1"/>
      <c r="D342" s="1"/>
      <c r="E342" s="1"/>
      <c r="F342" s="1"/>
    </row>
    <row r="343" spans="1:6">
      <c r="A343" s="1"/>
      <c r="B343" s="1"/>
      <c r="D343" s="1"/>
      <c r="E343" s="1"/>
      <c r="F343" s="1"/>
    </row>
    <row r="344" spans="1:6">
      <c r="A344" s="1"/>
      <c r="B344" s="1"/>
      <c r="D344" s="1"/>
      <c r="E344" s="1"/>
      <c r="F344" s="1"/>
    </row>
    <row r="345" spans="1:6">
      <c r="A345" s="1"/>
      <c r="B345" s="1"/>
      <c r="D345" s="1"/>
      <c r="E345" s="1"/>
      <c r="F345" s="1"/>
    </row>
    <row r="346" spans="1:6">
      <c r="A346" s="1"/>
      <c r="B346" s="1"/>
      <c r="D346" s="1"/>
      <c r="E346" s="1"/>
      <c r="F346" s="1"/>
    </row>
    <row r="347" spans="1:6">
      <c r="A347" s="1"/>
      <c r="B347" s="1"/>
      <c r="D347" s="1"/>
      <c r="E347" s="1"/>
      <c r="F347" s="1"/>
    </row>
    <row r="348" spans="1:6">
      <c r="A348" s="1"/>
      <c r="B348" s="1"/>
      <c r="D348" s="1"/>
      <c r="E348" s="1"/>
      <c r="F348" s="1"/>
    </row>
    <row r="349" spans="1:6">
      <c r="A349" s="1"/>
      <c r="B349" s="1"/>
      <c r="D349" s="1"/>
      <c r="E349" s="1"/>
      <c r="F349" s="1"/>
    </row>
    <row r="350" spans="1:6">
      <c r="A350" s="1"/>
      <c r="B350" s="1"/>
      <c r="D350" s="1"/>
      <c r="E350" s="1"/>
      <c r="F350" s="1"/>
    </row>
    <row r="351" spans="1:6">
      <c r="A351" s="1"/>
      <c r="B351" s="1"/>
      <c r="D351" s="1"/>
      <c r="E351" s="1"/>
      <c r="F351" s="1"/>
    </row>
    <row r="352" spans="1:6">
      <c r="A352" s="1"/>
      <c r="B352" s="1"/>
      <c r="D352" s="1"/>
      <c r="E352" s="1"/>
      <c r="F352" s="1"/>
    </row>
    <row r="353" spans="1:6">
      <c r="A353" s="1"/>
      <c r="B353" s="1"/>
      <c r="D353" s="1"/>
      <c r="E353" s="1"/>
      <c r="F353" s="1"/>
    </row>
    <row r="354" spans="1:6">
      <c r="A354" s="1"/>
      <c r="B354" s="1"/>
      <c r="D354" s="1"/>
      <c r="E354" s="1"/>
      <c r="F354" s="1"/>
    </row>
    <row r="355" spans="1:6">
      <c r="A355" s="1"/>
      <c r="B355" s="1"/>
      <c r="D355" s="1"/>
      <c r="E355" s="1"/>
      <c r="F355" s="1"/>
    </row>
    <row r="356" spans="1:6">
      <c r="A356" s="1"/>
      <c r="B356" s="1"/>
      <c r="D356" s="1"/>
      <c r="E356" s="1"/>
      <c r="F356" s="1"/>
    </row>
    <row r="357" spans="1:6">
      <c r="A357" s="1"/>
      <c r="B357" s="1"/>
      <c r="D357" s="1"/>
      <c r="E357" s="1"/>
      <c r="F357" s="1"/>
    </row>
    <row r="358" spans="1:6">
      <c r="A358" s="1"/>
      <c r="B358" s="1"/>
      <c r="D358" s="1"/>
      <c r="E358" s="1"/>
      <c r="F358" s="1"/>
    </row>
    <row r="359" spans="1:6">
      <c r="A359" s="1"/>
      <c r="B359" s="1"/>
      <c r="D359" s="1"/>
      <c r="E359" s="1"/>
      <c r="F359" s="1"/>
    </row>
    <row r="360" spans="1:6">
      <c r="A360" s="1"/>
      <c r="B360" s="1"/>
      <c r="D360" s="1"/>
      <c r="E360" s="1"/>
      <c r="F360" s="1"/>
    </row>
    <row r="361" spans="1:6">
      <c r="A361" s="1"/>
      <c r="B361" s="1"/>
      <c r="D361" s="1"/>
      <c r="E361" s="1"/>
      <c r="F361" s="1"/>
    </row>
    <row r="362" spans="1:6">
      <c r="A362" s="1"/>
      <c r="B362" s="1"/>
      <c r="D362" s="1"/>
      <c r="E362" s="1"/>
      <c r="F362" s="1"/>
    </row>
    <row r="363" spans="1:6">
      <c r="A363" s="1"/>
      <c r="B363" s="1"/>
      <c r="D363" s="1"/>
      <c r="E363" s="1"/>
      <c r="F363" s="1"/>
    </row>
    <row r="364" spans="1:6">
      <c r="A364" s="1"/>
      <c r="B364" s="1"/>
      <c r="D364" s="1"/>
      <c r="E364" s="1"/>
      <c r="F364" s="1"/>
    </row>
    <row r="365" spans="1:6">
      <c r="A365" s="1"/>
      <c r="B365" s="1"/>
      <c r="D365" s="1"/>
      <c r="E365" s="1"/>
      <c r="F365" s="1"/>
    </row>
    <row r="366" spans="1:6">
      <c r="A366" s="1"/>
      <c r="B366" s="1"/>
      <c r="D366" s="1"/>
      <c r="E366" s="1"/>
      <c r="F366" s="1"/>
    </row>
    <row r="367" spans="1:6">
      <c r="A367" s="1"/>
      <c r="B367" s="1"/>
      <c r="D367" s="1"/>
      <c r="E367" s="1"/>
      <c r="F367" s="1"/>
    </row>
    <row r="368" spans="1:6">
      <c r="A368" s="1"/>
      <c r="B368" s="1"/>
      <c r="D368" s="1"/>
      <c r="E368" s="1"/>
      <c r="F368" s="1"/>
    </row>
    <row r="369" spans="1:6">
      <c r="A369" s="1"/>
      <c r="B369" s="1"/>
      <c r="D369" s="1"/>
      <c r="E369" s="1"/>
      <c r="F369" s="1"/>
    </row>
    <row r="370" spans="1:6">
      <c r="A370" s="1"/>
      <c r="B370" s="1"/>
      <c r="D370" s="1"/>
      <c r="E370" s="1"/>
      <c r="F370" s="1"/>
    </row>
    <row r="371" spans="1:6">
      <c r="A371" s="1"/>
      <c r="B371" s="1"/>
      <c r="D371" s="1"/>
      <c r="E371" s="1"/>
      <c r="F371" s="1"/>
    </row>
    <row r="372" spans="1:6">
      <c r="A372" s="1"/>
      <c r="B372" s="1"/>
      <c r="D372" s="1"/>
      <c r="E372" s="1"/>
      <c r="F372" s="1"/>
    </row>
    <row r="373" spans="1:6">
      <c r="A373" s="1"/>
      <c r="B373" s="1"/>
      <c r="D373" s="1"/>
      <c r="E373" s="1"/>
      <c r="F373" s="1"/>
    </row>
    <row r="374" spans="1:6">
      <c r="A374" s="1"/>
      <c r="B374" s="1"/>
      <c r="D374" s="1"/>
      <c r="E374" s="1"/>
      <c r="F374" s="1"/>
    </row>
    <row r="375" spans="1:6">
      <c r="A375" s="1"/>
      <c r="B375" s="1"/>
      <c r="D375" s="1"/>
      <c r="E375" s="1"/>
      <c r="F375" s="1"/>
    </row>
    <row r="376" spans="1:6">
      <c r="A376" s="1"/>
      <c r="B376" s="1"/>
      <c r="D376" s="1"/>
      <c r="E376" s="1"/>
      <c r="F376" s="1"/>
    </row>
    <row r="377" spans="1:6">
      <c r="A377" s="1"/>
      <c r="B377" s="1"/>
      <c r="D377" s="1"/>
      <c r="E377" s="1"/>
      <c r="F377" s="1"/>
    </row>
    <row r="378" spans="1:6">
      <c r="A378" s="1"/>
      <c r="B378" s="1"/>
      <c r="D378" s="1"/>
      <c r="E378" s="1"/>
      <c r="F378" s="1"/>
    </row>
    <row r="379" spans="1:6">
      <c r="A379" s="1"/>
      <c r="B379" s="1"/>
      <c r="D379" s="1"/>
      <c r="E379" s="1"/>
      <c r="F379" s="1"/>
    </row>
    <row r="380" spans="1:6">
      <c r="A380" s="1"/>
      <c r="B380" s="1"/>
      <c r="D380" s="1"/>
      <c r="E380" s="1"/>
      <c r="F380" s="1"/>
    </row>
    <row r="381" spans="1:6">
      <c r="A381" s="1"/>
      <c r="B381" s="1"/>
      <c r="D381" s="1"/>
      <c r="E381" s="1"/>
      <c r="F381" s="1"/>
    </row>
    <row r="382" spans="1:6">
      <c r="A382" s="1"/>
      <c r="B382" s="1"/>
      <c r="D382" s="1"/>
      <c r="E382" s="1"/>
      <c r="F382" s="1"/>
    </row>
    <row r="383" spans="1:6">
      <c r="A383" s="1"/>
      <c r="B383" s="1"/>
      <c r="D383" s="1"/>
      <c r="E383" s="1"/>
      <c r="F383" s="1"/>
    </row>
    <row r="384" spans="1:6">
      <c r="A384" s="1"/>
      <c r="B384" s="1"/>
      <c r="D384" s="1"/>
      <c r="E384" s="1"/>
      <c r="F384" s="1"/>
    </row>
    <row r="385" spans="1:6">
      <c r="A385" s="1"/>
      <c r="B385" s="1"/>
      <c r="D385" s="1"/>
      <c r="E385" s="1"/>
      <c r="F385" s="1"/>
    </row>
    <row r="386" spans="1:6">
      <c r="A386" s="1"/>
      <c r="B386" s="1"/>
      <c r="D386" s="1"/>
      <c r="E386" s="1"/>
      <c r="F386" s="1"/>
    </row>
    <row r="387" spans="1:6">
      <c r="A387" s="1"/>
      <c r="B387" s="1"/>
      <c r="D387" s="1"/>
      <c r="E387" s="1"/>
      <c r="F387" s="1"/>
    </row>
    <row r="388" spans="1:6">
      <c r="A388" s="1"/>
      <c r="B388" s="1"/>
      <c r="D388" s="1"/>
      <c r="E388" s="1"/>
      <c r="F388" s="1"/>
    </row>
    <row r="389" spans="1:6">
      <c r="A389" s="1"/>
      <c r="B389" s="1"/>
      <c r="D389" s="1"/>
      <c r="E389" s="1"/>
      <c r="F389" s="1"/>
    </row>
    <row r="390" spans="1:6">
      <c r="A390" s="1"/>
      <c r="B390" s="1"/>
      <c r="D390" s="1"/>
      <c r="E390" s="1"/>
      <c r="F390" s="1"/>
    </row>
    <row r="391" spans="1:6">
      <c r="A391" s="1"/>
      <c r="B391" s="1"/>
      <c r="D391" s="1"/>
      <c r="E391" s="1"/>
      <c r="F391" s="1"/>
    </row>
    <row r="392" spans="1:6">
      <c r="A392" s="1"/>
      <c r="B392" s="1"/>
      <c r="D392" s="1"/>
      <c r="E392" s="1"/>
      <c r="F392" s="1"/>
    </row>
    <row r="393" spans="1:6">
      <c r="A393" s="1"/>
      <c r="B393" s="1"/>
      <c r="D393" s="1"/>
      <c r="E393" s="1"/>
    </row>
    <row r="394" spans="1:6">
      <c r="A394" s="1"/>
      <c r="B394" s="1"/>
      <c r="D394" s="1"/>
      <c r="E394" s="1"/>
      <c r="F394" s="2"/>
    </row>
    <row r="395" spans="1:6">
      <c r="A395" s="1"/>
      <c r="B395" s="1"/>
      <c r="D395" s="1"/>
      <c r="E395" s="1"/>
      <c r="F395" s="2"/>
    </row>
    <row r="396" spans="1:6">
      <c r="A396" s="1"/>
      <c r="B396" s="1"/>
      <c r="D396" s="1"/>
    </row>
    <row r="397" spans="1:6">
      <c r="A397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CE89-F87F-4B70-AE63-B22623A60760}">
  <dimension ref="A1:H9"/>
  <sheetViews>
    <sheetView workbookViewId="0">
      <selection activeCell="G17" sqref="G17"/>
    </sheetView>
  </sheetViews>
  <sheetFormatPr defaultRowHeight="14.25"/>
  <cols>
    <col min="8" max="8" width="15.3984375" bestFit="1" customWidth="1"/>
  </cols>
  <sheetData>
    <row r="1" spans="1:8">
      <c r="A1" s="18" t="s">
        <v>6</v>
      </c>
      <c r="B1" s="16">
        <v>0.05</v>
      </c>
      <c r="C1" s="16">
        <v>0.15</v>
      </c>
      <c r="D1" s="16">
        <v>0.25</v>
      </c>
      <c r="E1" s="16">
        <v>0.35</v>
      </c>
      <c r="F1" s="16">
        <v>0.45</v>
      </c>
      <c r="G1" s="17">
        <v>0.55000000000000004</v>
      </c>
      <c r="H1" s="18" t="s">
        <v>12</v>
      </c>
    </row>
    <row r="2" spans="1:8">
      <c r="A2" s="5">
        <v>1</v>
      </c>
      <c r="B2">
        <v>23.844000000000001</v>
      </c>
      <c r="C2">
        <v>14.49</v>
      </c>
      <c r="D2">
        <v>11.285</v>
      </c>
      <c r="E2">
        <v>9.6229999999999993</v>
      </c>
      <c r="F2">
        <v>8.3829999999999991</v>
      </c>
      <c r="G2" s="6">
        <v>7.6909999999999998</v>
      </c>
      <c r="H2" s="5">
        <f>$B1+$I$2/3</f>
        <v>0.05</v>
      </c>
    </row>
    <row r="3" spans="1:8">
      <c r="A3" s="11">
        <v>2</v>
      </c>
      <c r="B3">
        <v>24.542999999999999</v>
      </c>
      <c r="C3">
        <v>14.622</v>
      </c>
      <c r="D3">
        <v>11.177</v>
      </c>
      <c r="E3">
        <v>9.5730000000000004</v>
      </c>
      <c r="F3">
        <v>8.4060000000000006</v>
      </c>
      <c r="G3" s="6">
        <v>7.5910000000000002</v>
      </c>
      <c r="H3" s="5">
        <f>$C1+$I$2/3</f>
        <v>0.15</v>
      </c>
    </row>
    <row r="4" spans="1:8">
      <c r="A4" s="11">
        <v>3</v>
      </c>
      <c r="B4">
        <v>24.13</v>
      </c>
      <c r="C4">
        <v>14.653</v>
      </c>
      <c r="D4">
        <v>11.301</v>
      </c>
      <c r="E4">
        <v>9.6159999999999997</v>
      </c>
      <c r="F4">
        <v>8.3879999999999999</v>
      </c>
      <c r="G4" s="6">
        <v>7.6589999999999998</v>
      </c>
      <c r="H4" s="5">
        <f>$D1+$I$2/3</f>
        <v>0.25</v>
      </c>
    </row>
    <row r="5" spans="1:8">
      <c r="A5" s="11">
        <v>4</v>
      </c>
      <c r="B5">
        <v>24.36</v>
      </c>
      <c r="C5">
        <v>14.534000000000001</v>
      </c>
      <c r="D5">
        <v>11.298999999999999</v>
      </c>
      <c r="E5">
        <v>9.6300000000000008</v>
      </c>
      <c r="F5">
        <v>8.3859999999999992</v>
      </c>
      <c r="G5" s="6">
        <v>7.6</v>
      </c>
      <c r="H5" s="5">
        <f>$E1+$I$2/3</f>
        <v>0.35</v>
      </c>
    </row>
    <row r="6" spans="1:8" ht="14.65" thickBot="1">
      <c r="A6" s="11">
        <v>5</v>
      </c>
      <c r="B6">
        <v>24.425000000000001</v>
      </c>
      <c r="C6">
        <v>14.542</v>
      </c>
      <c r="D6">
        <v>11.26</v>
      </c>
      <c r="E6">
        <v>9.6170000000000009</v>
      </c>
      <c r="F6">
        <v>8.4019999999999992</v>
      </c>
      <c r="G6" s="6">
        <v>7.6319999999999997</v>
      </c>
      <c r="H6" s="5">
        <f>$F1+$I$2/3</f>
        <v>0.45</v>
      </c>
    </row>
    <row r="7" spans="1:8" ht="14.65" thickBot="1">
      <c r="A7" s="8" t="s">
        <v>1</v>
      </c>
      <c r="B7" s="4">
        <f>AVERAGE(B2:B6)</f>
        <v>24.260399999999997</v>
      </c>
      <c r="C7" s="4">
        <f>AVERAGE(C2:C6)</f>
        <v>14.568199999999999</v>
      </c>
      <c r="D7" s="4">
        <f>AVERAGE(D2:D6)</f>
        <v>11.264399999999998</v>
      </c>
      <c r="E7" s="4">
        <f t="shared" ref="E7:G7" si="0">AVERAGE(E2:E6)</f>
        <v>9.6117999999999988</v>
      </c>
      <c r="F7" s="4">
        <f t="shared" si="0"/>
        <v>8.3930000000000007</v>
      </c>
      <c r="G7" s="19">
        <f t="shared" si="0"/>
        <v>7.6345999999999989</v>
      </c>
      <c r="H7" s="21">
        <f>$G1+$I$2/3</f>
        <v>0.55000000000000004</v>
      </c>
    </row>
    <row r="8" spans="1:8">
      <c r="A8" s="9" t="s">
        <v>2</v>
      </c>
      <c r="B8">
        <f t="shared" ref="B8" si="1">_xlfn.STDEV.S(B2:B6)</f>
        <v>0.27715934045238261</v>
      </c>
      <c r="C8">
        <f>_xlfn.STDEV.S(C2:C6)</f>
        <v>6.7187796510973619E-2</v>
      </c>
      <c r="D8">
        <f>_xlfn.STDEV.S(D2:D6)</f>
        <v>5.1524751333703808E-2</v>
      </c>
      <c r="E8">
        <f>_xlfn.STDEV.S(E2:E6)</f>
        <v>2.2398660674245618E-2</v>
      </c>
      <c r="F8">
        <f>_xlfn.STDEV.S(F2:F6)</f>
        <v>1.0295630140987376E-2</v>
      </c>
      <c r="G8" s="6">
        <f>_xlfn.STDEV.S(G2:G6)</f>
        <v>4.1476499370125187E-2</v>
      </c>
    </row>
    <row r="9" spans="1:8" ht="14.65" thickBot="1">
      <c r="A9" s="10" t="s">
        <v>3</v>
      </c>
      <c r="B9" s="7">
        <f>B8/SQRT(5)</f>
        <v>0.12394942517010696</v>
      </c>
      <c r="C9" s="7">
        <f>C8/SQRT(5)</f>
        <v>3.0047296051392041E-2</v>
      </c>
      <c r="D9" s="7">
        <f>D8/SQRT(5)</f>
        <v>2.3042569301186932E-2</v>
      </c>
      <c r="E9" s="7">
        <f t="shared" ref="E9:G9" si="2">E8/SQRT(5)</f>
        <v>1.0016985574512895E-2</v>
      </c>
      <c r="F9" s="7">
        <f t="shared" si="2"/>
        <v>4.6043457732887032E-3</v>
      </c>
      <c r="G9" s="20">
        <f t="shared" si="2"/>
        <v>1.8548854412065423E-2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Misure statiche 1</vt:lpstr>
      <vt:lpstr>Misure statiche (molla uguale)</vt:lpstr>
      <vt:lpstr>Misure statiche (molla diversa)</vt:lpstr>
      <vt:lpstr>Misure dinamiche</vt:lpstr>
      <vt:lpstr>Molle in serie (statica)</vt:lpstr>
      <vt:lpstr>Molle in parallelo (statica)</vt:lpstr>
      <vt:lpstr>Energia </vt:lpstr>
      <vt:lpstr>Misure dinamiche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2026-04-14T09:24:11Z</dcterms:created>
  <dcterms:modified xsi:type="dcterms:W3CDTF">2026-05-21T12:09:57Z</dcterms:modified>
</cp:coreProperties>
</file>