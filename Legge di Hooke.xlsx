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79" documentId="8_{776634F0-C4C9-4588-BBA4-07B3E3D5FCB7}" xr6:coauthVersionLast="47" xr6:coauthVersionMax="47" xr10:uidLastSave="{B731EA25-84E0-4526-9ACB-15867CC605B2}"/>
  <bookViews>
    <workbookView xWindow="675" yWindow="1657" windowWidth="16200" windowHeight="9308" firstSheet="1" activeTab="3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I7" i="2"/>
  <c r="J7" i="2" s="1"/>
  <c r="I6" i="2"/>
  <c r="K6" i="2" s="1"/>
  <c r="I5" i="2"/>
  <c r="K5" i="2" s="1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I3" i="2" s="1"/>
  <c r="E7" i="2"/>
  <c r="F7" i="2"/>
  <c r="G7" i="2"/>
  <c r="C3" i="4"/>
  <c r="C4" i="4"/>
  <c r="C5" i="4"/>
  <c r="C6" i="4"/>
  <c r="C2" i="4"/>
  <c r="D7" i="2"/>
  <c r="I4" i="2" s="1"/>
  <c r="D8" i="2"/>
  <c r="K4" i="2" l="1"/>
  <c r="K3" i="2"/>
  <c r="J3" i="2"/>
  <c r="K2" i="2"/>
  <c r="J2" i="2"/>
  <c r="K7" i="2"/>
  <c r="J5" i="2"/>
  <c r="J6" i="2"/>
  <c r="D9" i="2"/>
  <c r="J4" i="2" s="1"/>
</calcChain>
</file>

<file path=xl/sharedStrings.xml><?xml version="1.0" encoding="utf-8"?>
<sst xmlns="http://schemas.openxmlformats.org/spreadsheetml/2006/main" count="49" uniqueCount="27">
  <si>
    <t>m[g]</t>
  </si>
  <si>
    <t>posizione</t>
  </si>
  <si>
    <t>allungamento</t>
  </si>
  <si>
    <t>incertezza su all.</t>
  </si>
  <si>
    <t>d [m] senza pesi</t>
  </si>
  <si>
    <t>incertezza su d</t>
  </si>
  <si>
    <t>T</t>
  </si>
  <si>
    <t>T^2</t>
  </si>
  <si>
    <t>m(g)</t>
  </si>
  <si>
    <t>σΤ</t>
  </si>
  <si>
    <t>σT^2</t>
  </si>
  <si>
    <t>d</t>
  </si>
  <si>
    <t>Media</t>
  </si>
  <si>
    <t>Dev.std</t>
  </si>
  <si>
    <t>Dev.std.med</t>
  </si>
  <si>
    <t>0.0037153038120194804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</si>
  <si>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</si>
  <si>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</si>
  <si>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</si>
  <si>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</si>
  <si>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</si>
  <si>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</si>
  <si>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</si>
  <si>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incertezza m [kg]</t>
  </si>
  <si>
    <t>posizione[m]</t>
  </si>
  <si>
    <t>allungamento [m]</t>
  </si>
  <si>
    <t>Masse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</si>
</sst>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0" xfId="0" applyFill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1" fillId="0" borderId="0" xfId="0" applyNumberFormat="1" applyFont="1" applyAlignment="1">
      <alignment horizontal="right" wrapText="1"/>
    </xf>
    <xf numFmtId="11" fontId="0" fillId="3" borderId="2" xfId="0" applyNumberFormat="1" applyFill="1" applyBorder="1"/>
    <xf numFmtId="11" fontId="0" fillId="3" borderId="3" xfId="0" applyNumberFormat="1" applyFill="1" applyBorder="1"/>
    <xf numFmtId="1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workbookViewId="0">
      <selection activeCell="B8" sqref="B8"/>
    </sheetView>
  </sheetViews>
  <sheetFormatPr defaultRowHeight="14.25"/>
  <sheetData>
    <row r="1" spans="1:7" ht="39.75">
      <c r="A1" s="3" t="s">
        <v>22</v>
      </c>
      <c r="B1" s="3" t="s">
        <v>23</v>
      </c>
      <c r="C1" s="3" t="s">
        <v>24</v>
      </c>
      <c r="D1" s="3" t="s">
        <v>25</v>
      </c>
      <c r="E1" s="3" t="s">
        <v>3</v>
      </c>
      <c r="F1" s="3" t="s">
        <v>4</v>
      </c>
      <c r="G1" s="3" t="s">
        <v>5</v>
      </c>
    </row>
    <row r="2" spans="1:7">
      <c r="A2" s="19">
        <v>0.05</v>
      </c>
      <c r="B2" s="17">
        <v>1E-3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19">
        <v>0.1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19">
        <v>0.2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19">
        <v>0.3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19">
        <v>0.4</v>
      </c>
      <c r="B6" s="2"/>
      <c r="C6" s="18">
        <v>1.1299999999999999</v>
      </c>
      <c r="D6" s="1">
        <v>0.13</v>
      </c>
      <c r="E6" s="1">
        <v>1.4142135619999999E-2</v>
      </c>
      <c r="F6" s="2"/>
      <c r="G6" s="2"/>
    </row>
    <row r="7" spans="1:7">
      <c r="A7" s="19">
        <v>0.5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19">
        <v>0.6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19">
        <v>0.7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19">
        <v>0.8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19">
        <v>0.9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9" sqref="C9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>$E$2-B3</f>
        <v>7.9999999999999849E-2</v>
      </c>
      <c r="D3" s="2">
        <f t="shared" ref="D3:D6" si="0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ref="C4:C6" si="1">$E$2-B4</f>
        <v>0.10999999999999988</v>
      </c>
      <c r="D4" s="2">
        <f t="shared" si="0"/>
        <v>1.4142135623730952E-2</v>
      </c>
      <c r="E4" s="2"/>
    </row>
    <row r="5" spans="1:6">
      <c r="A5" s="1">
        <v>150</v>
      </c>
      <c r="B5" s="1">
        <v>1.01</v>
      </c>
      <c r="C5" s="2">
        <f t="shared" si="1"/>
        <v>0.15999999999999992</v>
      </c>
      <c r="D5" s="2">
        <f t="shared" si="0"/>
        <v>1.4142135623730952E-2</v>
      </c>
      <c r="E5" s="2"/>
    </row>
    <row r="6" spans="1:6">
      <c r="A6" s="1">
        <v>200</v>
      </c>
      <c r="B6" s="1">
        <v>0.95</v>
      </c>
      <c r="C6" s="2">
        <f t="shared" si="1"/>
        <v>0.21999999999999997</v>
      </c>
      <c r="D6" s="2">
        <f t="shared" si="0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M9"/>
  <sheetViews>
    <sheetView tabSelected="1" topLeftCell="D1" workbookViewId="0">
      <selection activeCell="M2" sqref="M2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12" max="12" width="22.3984375" customWidth="1"/>
  </cols>
  <sheetData>
    <row r="1" spans="1:13">
      <c r="A1" s="5" t="s">
        <v>26</v>
      </c>
      <c r="B1" s="20">
        <v>0.05</v>
      </c>
      <c r="C1" s="20">
        <v>0.15</v>
      </c>
      <c r="D1" s="20">
        <v>0.25</v>
      </c>
      <c r="E1" s="20">
        <v>0.35</v>
      </c>
      <c r="F1" s="20">
        <v>0.45</v>
      </c>
      <c r="G1" s="21">
        <v>0.55000000000000004</v>
      </c>
      <c r="H1" t="s">
        <v>8</v>
      </c>
      <c r="I1" s="13" t="s">
        <v>6</v>
      </c>
      <c r="J1" s="13" t="s">
        <v>9</v>
      </c>
      <c r="K1" s="13" t="s">
        <v>7</v>
      </c>
      <c r="L1" s="13" t="s">
        <v>10</v>
      </c>
      <c r="M1" s="22">
        <v>1.1299999999999999E-2</v>
      </c>
    </row>
    <row r="2" spans="1:13">
      <c r="A2" s="7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8">
        <v>7.6909999999999998</v>
      </c>
      <c r="H2">
        <f>$B1+$M$1/3</f>
        <v>5.3766666666666671E-2</v>
      </c>
      <c r="I2">
        <f>2*PI()/B7</f>
        <v>0.25898935331567441</v>
      </c>
      <c r="J2">
        <f>I2*(2*PI()/B7^2)*B9</f>
        <v>3.4269706290817735E-4</v>
      </c>
      <c r="K2">
        <f>I2^2</f>
        <v>6.7075485130871235E-2</v>
      </c>
      <c r="L2" s="16" t="s">
        <v>15</v>
      </c>
    </row>
    <row r="3" spans="1:13">
      <c r="A3" s="14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8">
        <v>7.5910000000000002</v>
      </c>
      <c r="H3">
        <f>$C1+$M$1/3</f>
        <v>0.15376666666666666</v>
      </c>
      <c r="I3">
        <f>2*PI()/C7</f>
        <v>0.43129455301132513</v>
      </c>
      <c r="J3">
        <f>I3*(2*PI()/C7^2)*C9</f>
        <v>3.8366081728098282E-4</v>
      </c>
      <c r="K3">
        <f t="shared" ref="K3:K7" si="0">I3^2</f>
        <v>0.18601499145723874</v>
      </c>
      <c r="L3" s="16" t="s">
        <v>15</v>
      </c>
    </row>
    <row r="4" spans="1:13">
      <c r="A4" s="14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8">
        <v>7.6589999999999998</v>
      </c>
      <c r="H4">
        <f>$D1+$M$1/3</f>
        <v>0.25376666666666664</v>
      </c>
      <c r="I4">
        <f>2*PI()/D7</f>
        <v>0.55779138766197822</v>
      </c>
      <c r="J4">
        <f>I4*(2*PI()/D7^2)*D9</f>
        <v>6.3645316027282251E-4</v>
      </c>
      <c r="K4">
        <f t="shared" si="0"/>
        <v>0.31113123214987526</v>
      </c>
      <c r="L4" s="16" t="s">
        <v>15</v>
      </c>
    </row>
    <row r="5" spans="1:13">
      <c r="A5" s="14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8">
        <v>7.6</v>
      </c>
      <c r="H5">
        <f>$E1+$M$1/3</f>
        <v>0.35376666666666662</v>
      </c>
      <c r="I5">
        <f>2*PI()/E$7</f>
        <v>0.65369496943128103</v>
      </c>
      <c r="J5">
        <f>I5*(2*PI()/E7^2)*E9</f>
        <v>4.4533067242994513E-4</v>
      </c>
      <c r="K5">
        <f t="shared" si="0"/>
        <v>0.42731711305976344</v>
      </c>
      <c r="L5" s="16" t="s">
        <v>15</v>
      </c>
    </row>
    <row r="6" spans="1:13" ht="14.65" thickBot="1">
      <c r="A6" s="14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8">
        <v>7.6319999999999997</v>
      </c>
      <c r="H6">
        <f>$F1+$M$1/3</f>
        <v>0.45376666666666665</v>
      </c>
      <c r="I6">
        <f>2*PI()/F$7</f>
        <v>0.748622102606885</v>
      </c>
      <c r="J6">
        <f>I6*(2*PI()/F7^2)*F9</f>
        <v>3.0745106222261452E-4</v>
      </c>
      <c r="K6">
        <f t="shared" si="0"/>
        <v>0.56043505251155346</v>
      </c>
      <c r="L6" s="16" t="s">
        <v>15</v>
      </c>
    </row>
    <row r="7" spans="1:13">
      <c r="A7" s="10" t="s">
        <v>12</v>
      </c>
      <c r="B7" s="6">
        <f>AVERAGE(B2:B6)</f>
        <v>24.260399999999997</v>
      </c>
      <c r="C7" s="6">
        <f>AVERAGE(C2:C6)</f>
        <v>14.568199999999999</v>
      </c>
      <c r="D7" s="6">
        <f>AVERAGE(D2:D6)</f>
        <v>11.264399999999998</v>
      </c>
      <c r="E7" s="6">
        <f t="shared" ref="E7:G7" si="1">AVERAGE(E2:E6)</f>
        <v>9.6117999999999988</v>
      </c>
      <c r="F7" s="6">
        <f t="shared" si="1"/>
        <v>8.3930000000000007</v>
      </c>
      <c r="G7" s="6">
        <f t="shared" si="1"/>
        <v>7.6345999999999989</v>
      </c>
      <c r="H7">
        <f>$G1+$M$1/3</f>
        <v>0.55376666666666674</v>
      </c>
      <c r="I7">
        <f>2*PI()/G7</f>
        <v>0.82298814701223211</v>
      </c>
      <c r="J7">
        <f>I7*(2*PI()/G7^2)*G9</f>
        <v>1.6455760778816024E-3</v>
      </c>
      <c r="K7">
        <f t="shared" si="0"/>
        <v>0.67730949012262742</v>
      </c>
      <c r="L7" s="16" t="s">
        <v>15</v>
      </c>
    </row>
    <row r="8" spans="1:13">
      <c r="A8" s="11" t="s">
        <v>13</v>
      </c>
      <c r="B8">
        <f t="shared" ref="B8" si="2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>
        <f>_xlfn.STDEV.S(G2:G6)</f>
        <v>4.1476499370125187E-2</v>
      </c>
    </row>
    <row r="9" spans="1:13" ht="14.65" thickBot="1">
      <c r="A9" s="12" t="s">
        <v>14</v>
      </c>
      <c r="B9" s="9">
        <f>B8/SQRT(5)</f>
        <v>0.12394942517010696</v>
      </c>
      <c r="C9" s="9">
        <f>C8/SQRT(5)</f>
        <v>3.0047296051392041E-2</v>
      </c>
      <c r="D9" s="9">
        <f>D8/SQRT(5)</f>
        <v>2.3042569301186932E-2</v>
      </c>
      <c r="E9" s="9">
        <f t="shared" ref="E9:G9" si="3">E8/SQRT(5)</f>
        <v>1.0016985574512895E-2</v>
      </c>
      <c r="F9" s="9">
        <f t="shared" si="3"/>
        <v>4.6043457732887032E-3</v>
      </c>
      <c r="G9" s="9">
        <f t="shared" si="3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5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B29" sqref="B29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17</v>
      </c>
      <c r="B1" s="2" t="s">
        <v>16</v>
      </c>
      <c r="C1" t="s">
        <v>18</v>
      </c>
      <c r="D1" t="s">
        <v>19</v>
      </c>
      <c r="E1" s="2" t="s">
        <v>20</v>
      </c>
      <c r="F1" s="2" t="s">
        <v>21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7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7">
        <v>4.66E-4</v>
      </c>
      <c r="F169" s="1">
        <v>-0.6</v>
      </c>
    </row>
    <row r="170" spans="1:6">
      <c r="A170" s="17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7">
        <v>2.9799999999999998E-4</v>
      </c>
      <c r="F188" s="1">
        <v>0.66</v>
      </c>
    </row>
    <row r="189" spans="1:6">
      <c r="A189" s="17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7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7">
        <v>-1.15E-5</v>
      </c>
      <c r="F244" s="1">
        <v>-0.43</v>
      </c>
    </row>
    <row r="245" spans="1:6">
      <c r="A245" s="17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7">
        <v>2.9700000000000001E-4</v>
      </c>
      <c r="F300" s="1">
        <v>0.69</v>
      </c>
    </row>
    <row r="301" spans="1:6">
      <c r="A301" s="17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7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7">
        <v>7.0299999999999996E-4</v>
      </c>
      <c r="F319" s="1">
        <v>-0.56999999999999995</v>
      </c>
    </row>
    <row r="320" spans="1:6">
      <c r="A320" s="17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7">
        <v>9.9500000000000001E-4</v>
      </c>
      <c r="F338" s="1">
        <v>0.49</v>
      </c>
    </row>
    <row r="339" spans="1:6">
      <c r="A339" s="17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2026-05-10T13:04:47Z</dcterms:modified>
</cp:coreProperties>
</file>