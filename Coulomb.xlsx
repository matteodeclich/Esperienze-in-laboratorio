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<sst xmlns="http://schemas.openxmlformats.org/spreadsheetml/2006/main" count="25" uniqueCount="25">
  <si>
    <t xml:space="preserve">r [m]</t>
  </si>
  <si>
    <t xml:space="preserve">d [m]</t>
  </si>
  <si>
    <t xml:space="preserve">a [m]</t>
  </si>
  <si>
    <t xml:space="preserve">θ (°)</t>
  </si>
  <si>
    <t xml:space="preserve">Err.a [m]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</si>
  <si>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</si>
  <si>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</si>
  <si>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</si>
  <si>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</si>
  <si>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</si>
  <si>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</si>
  <si>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</si>
  <si>
    <t xml:space="preserve">Errore r</t>
  </si>
  <si>
    <t xml:space="preserve">Potenziale [V]</t>
  </si>
  <si>
    <t xml:space="preserve">Err.Pot [V] </t>
  </si>
  <si>
    <t xml:space="preserve">θ (rad)</t>
  </si>
  <si>
    <t xml:space="preserve">Err.θ [rad]</t>
  </si>
  <si>
    <t xml:space="preserve">                                                                                                       </t>
  </si>
  <si>
    <t xml:space="preserve">errore a [m]</t>
  </si>
  <si>
    <t xml:space="preserve">Err.Pot [V]</t>
  </si>
  <si>
    <t xml:space="preserve">θ [°]</t>
  </si>
  <si>
    <t xml:space="preserve">θ [rad]</t>
  </si>
  <si>
    <t xml:space="preserve">Potenziale fisso</t>
  </si>
  <si>
    <t xml:space="preserve">Massa [kg]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</si>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</sst>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18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0" borderId="0" numFmtId="164" xfId="0" applyNumberFormat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0" borderId="0" numFmtId="0" xfId="0" applyAlignment="1">
      <alignment horizont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0" fillId="0" borderId="0" numFmtId="165" xfId="0" applyNumberFormat="1"/>
    <xf fontId="0" fillId="0" borderId="0" numFmtId="2" xfId="0" applyNumberFormat="1"/>
    <xf fontId="1" fillId="0" borderId="0" numFmtId="0" xfId="0" applyFont="1"/>
    <xf fontId="0" fillId="5" borderId="0" numFmtId="0" xfId="0" applyFill="1"/>
    <xf fontId="0" fillId="3" borderId="0" numFmtId="0" xfId="0" applyFill="1" applyAlignment="1">
      <alignment vertical="center"/>
    </xf>
    <xf fontId="2" fillId="6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2.73046875"/>
    <col bestFit="1" customWidth="1" min="2" max="7" width="14.33203125"/>
    <col bestFit="1" customWidth="1" min="8" max="8" width="7.265625"/>
    <col bestFit="1" customWidth="1" min="9" max="9" width="6.1328125"/>
    <col bestFit="1" customWidth="1" min="10" max="10" width="9.86328125"/>
  </cols>
  <sheetData>
    <row r="1">
      <c r="B1" s="1" t="s">
        <v>0</v>
      </c>
      <c r="C1" s="1"/>
      <c r="D1" s="1"/>
      <c r="E1" s="1"/>
      <c r="F1" s="1"/>
      <c r="G1" s="1"/>
      <c r="H1" s="2" t="s">
        <v>1</v>
      </c>
      <c r="I1" s="2" t="s">
        <v>2</v>
      </c>
    </row>
    <row r="2">
      <c r="B2" s="3">
        <v>5.9999999999999998e-002</v>
      </c>
      <c r="C2" s="3">
        <v>8.0000000000000002e-002</v>
      </c>
      <c r="D2" s="4">
        <v>0.10000000000000001</v>
      </c>
      <c r="E2" s="3">
        <v>0.14999999999999999</v>
      </c>
      <c r="F2" s="3">
        <v>0.17999999999999999</v>
      </c>
      <c r="G2" s="3">
        <v>0.20000000000000001</v>
      </c>
      <c r="H2" s="5">
        <v>3.9e-002</v>
      </c>
      <c r="I2">
        <f>H2/2</f>
        <v>1.95e-002</v>
      </c>
    </row>
    <row r="3">
      <c r="A3" s="6" t="s">
        <v>3</v>
      </c>
      <c r="B3">
        <v>97</v>
      </c>
      <c r="C3">
        <v>69</v>
      </c>
      <c r="D3">
        <v>49</v>
      </c>
      <c r="E3">
        <v>29</v>
      </c>
      <c r="F3">
        <v>19</v>
      </c>
      <c r="G3">
        <v>14</v>
      </c>
      <c r="H3" s="1" t="s">
        <v>4</v>
      </c>
      <c r="I3" s="1"/>
    </row>
    <row r="4">
      <c r="A4" s="7"/>
      <c r="B4">
        <v>99</v>
      </c>
      <c r="C4">
        <v>66</v>
      </c>
      <c r="D4">
        <v>49</v>
      </c>
      <c r="E4">
        <v>30</v>
      </c>
      <c r="F4">
        <v>20</v>
      </c>
      <c r="G4">
        <v>15</v>
      </c>
      <c r="H4" s="8">
        <v>1.e-003</v>
      </c>
      <c r="I4" s="8"/>
    </row>
    <row r="5">
      <c r="A5" s="9"/>
      <c r="B5">
        <v>98</v>
      </c>
      <c r="C5">
        <v>69</v>
      </c>
      <c r="D5">
        <v>50</v>
      </c>
      <c r="E5">
        <v>29</v>
      </c>
      <c r="F5">
        <v>20</v>
      </c>
      <c r="G5">
        <v>14</v>
      </c>
    </row>
    <row r="7">
      <c r="A7" s="10" t="s">
        <v>5</v>
      </c>
      <c r="B7" s="11">
        <f>AVERAGE(B3:B5)</f>
        <v>98</v>
      </c>
      <c r="C7" s="11">
        <f t="shared" ref="C7:G7" si="0">AVERAGE(C3:C5)</f>
        <v>68</v>
      </c>
      <c r="D7" s="11">
        <f t="shared" si="0"/>
        <v>49.333333333333336</v>
      </c>
      <c r="E7" s="11">
        <f t="shared" si="0"/>
        <v>29.333333333333332</v>
      </c>
      <c r="F7" s="11">
        <f t="shared" si="0"/>
        <v>19.666666666666668</v>
      </c>
      <c r="G7" s="11">
        <f t="shared" si="0"/>
        <v>14.333333333333334</v>
      </c>
    </row>
    <row r="8">
      <c r="A8" s="10" t="s">
        <v>6</v>
      </c>
      <c r="B8" s="12">
        <f t="shared" ref="B8:G8" si="1">RADIANS(B7)</f>
        <v>1.7104226669544429</v>
      </c>
      <c r="C8" s="12">
        <f t="shared" si="1"/>
        <v>1.1868238913561442</v>
      </c>
      <c r="D8" s="12">
        <f t="shared" si="1"/>
        <v>0.86102909765053592</v>
      </c>
      <c r="E8" s="12">
        <f t="shared" si="1"/>
        <v>0.51196324725166997</v>
      </c>
      <c r="F8" s="12">
        <f t="shared" si="1"/>
        <v>0.34324808622555147</v>
      </c>
      <c r="G8" s="12">
        <f t="shared" si="1"/>
        <v>0.25016385945252056</v>
      </c>
    </row>
    <row r="9">
      <c r="A9" s="10" t="s">
        <v>7</v>
      </c>
      <c r="B9" s="11">
        <f>_xlfn.STDEV.S(B3:B5)</f>
        <v>1</v>
      </c>
      <c r="C9" s="11">
        <f t="shared" ref="C9:G9" si="2">_xlfn.STDEV.S(C3:C5)</f>
        <v>1.7320508075688772</v>
      </c>
      <c r="D9" s="11">
        <f t="shared" si="2"/>
        <v>0.57735026918962584</v>
      </c>
      <c r="E9" s="11">
        <f t="shared" si="2"/>
        <v>0.57735026918962584</v>
      </c>
      <c r="F9" s="11">
        <f t="shared" si="2"/>
        <v>0.57735026918962584</v>
      </c>
      <c r="G9" s="11">
        <f t="shared" si="2"/>
        <v>0.57735026918962573</v>
      </c>
    </row>
    <row r="10">
      <c r="A10" s="10" t="s">
        <v>8</v>
      </c>
      <c r="B10" s="12">
        <f t="shared" ref="B10:G10" si="3">RADIANS(B9)</f>
        <v>1.7453292519943295e-002</v>
      </c>
      <c r="C10" s="12">
        <f t="shared" si="3"/>
        <v>3.0229989403903628e-002</v>
      </c>
      <c r="D10" s="12">
        <f t="shared" si="3"/>
        <v>1.0076663134634544e-002</v>
      </c>
      <c r="E10" s="12">
        <f t="shared" si="3"/>
        <v>1.0076663134634544e-002</v>
      </c>
      <c r="F10" s="12">
        <f t="shared" si="3"/>
        <v>1.0076663134634544e-002</v>
      </c>
      <c r="G10" s="12">
        <f t="shared" si="3"/>
        <v>1.0076663134634543e-002</v>
      </c>
      <c r="H10" s="13"/>
    </row>
    <row r="11">
      <c r="A11" s="10" t="s">
        <v>9</v>
      </c>
      <c r="B11" s="11">
        <f>B9/$G$9*2</f>
        <v>3.4641016151377548</v>
      </c>
      <c r="C11" s="11">
        <f t="shared" ref="C11:G11" si="4">C9/$G$9*2</f>
        <v>6</v>
      </c>
      <c r="D11" s="11">
        <f t="shared" si="4"/>
        <v>2.0000000000000004</v>
      </c>
      <c r="E11" s="11">
        <f t="shared" si="4"/>
        <v>2.0000000000000004</v>
      </c>
      <c r="F11" s="11">
        <f t="shared" si="4"/>
        <v>2.0000000000000004</v>
      </c>
      <c r="G11" s="11">
        <f t="shared" si="4"/>
        <v>2</v>
      </c>
    </row>
    <row r="12">
      <c r="A12" s="10" t="s">
        <v>10</v>
      </c>
      <c r="B12" s="12">
        <f t="shared" ref="B12:G12" si="5">RADIANS(B11)</f>
        <v>6.0459978807807263e-002</v>
      </c>
      <c r="C12" s="12">
        <f t="shared" si="5"/>
        <v>0.10471975511965978</v>
      </c>
      <c r="D12" s="12">
        <f t="shared" si="5"/>
        <v>3.4906585039886598e-002</v>
      </c>
      <c r="E12" s="12">
        <f t="shared" si="5"/>
        <v>3.4906585039886598e-002</v>
      </c>
      <c r="F12" s="12">
        <f t="shared" si="5"/>
        <v>3.4906585039886598e-002</v>
      </c>
      <c r="G12" s="12">
        <f t="shared" si="5"/>
        <v>3.4906585039886591e-002</v>
      </c>
    </row>
    <row r="14" ht="15.75">
      <c r="A14" s="10" t="s">
        <v>11</v>
      </c>
      <c r="B14">
        <f t="shared" ref="B14:G14" si="6">B2+$H$2</f>
        <v>9.9000000000000005e-002</v>
      </c>
      <c r="C14">
        <f t="shared" si="6"/>
        <v>0.11899999999999999</v>
      </c>
      <c r="D14">
        <f t="shared" si="6"/>
        <v>0.13900000000000001</v>
      </c>
      <c r="E14">
        <f t="shared" si="6"/>
        <v>0.189</v>
      </c>
      <c r="F14">
        <f t="shared" si="6"/>
        <v>0.219</v>
      </c>
      <c r="G14">
        <f t="shared" si="6"/>
        <v>0.23900000000000002</v>
      </c>
    </row>
    <row r="15">
      <c r="A15" s="10" t="s">
        <v>12</v>
      </c>
      <c r="B15">
        <v>1.e-003</v>
      </c>
      <c r="C15">
        <v>1.e-003</v>
      </c>
      <c r="D15">
        <v>1.e-003</v>
      </c>
      <c r="E15">
        <v>1.e-003</v>
      </c>
      <c r="F15">
        <v>1.e-003</v>
      </c>
      <c r="G15">
        <v>1.e-003</v>
      </c>
    </row>
    <row r="19" ht="14.25">
      <c r="B19">
        <f>B10/SQRT(3)</f>
        <v>1.0076663134634544e-002</v>
      </c>
      <c r="C19">
        <f>C10/SQRT(3)</f>
        <v>1.7453292519943295e-002</v>
      </c>
      <c r="D19">
        <f>D10/SQRT(3)</f>
        <v>5.8177641733144327e-003</v>
      </c>
      <c r="E19">
        <f>E10/SQRT(3)</f>
        <v>5.8177641733144327e-003</v>
      </c>
      <c r="F19">
        <f>F10/SQRT(3)</f>
        <v>5.8177641733144327e-003</v>
      </c>
      <c r="G19">
        <f>G10/SQRT(3)</f>
        <v>5.8177641733144318e-003</v>
      </c>
    </row>
  </sheetData>
  <mergeCells count="4">
    <mergeCell ref="B1:G1"/>
    <mergeCell ref="A3:A5"/>
    <mergeCell ref="H3:I3"/>
    <mergeCell ref="H4:I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" t="s">
        <v>13</v>
      </c>
      <c r="B1" s="14" t="s">
        <v>14</v>
      </c>
      <c r="C1" s="15" t="s">
        <v>3</v>
      </c>
      <c r="D1" s="3" t="s">
        <v>15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9" si="7">RADIANS(C2)</f>
        <v>1.2217304763960306</v>
      </c>
      <c r="E2" s="12">
        <f t="shared" ref="E2:E10" si="8">RADIANS(4)</f>
        <v>6.9813170079773182e-002</v>
      </c>
      <c r="F2">
        <v>3.9e-002</v>
      </c>
      <c r="G2" s="5">
        <f>F2/2</f>
        <v>1.95e-002</v>
      </c>
      <c r="N2" t="s">
        <v>17</v>
      </c>
    </row>
    <row r="3">
      <c r="A3">
        <v>5500</v>
      </c>
      <c r="B3">
        <v>10</v>
      </c>
      <c r="C3">
        <v>62</v>
      </c>
      <c r="D3" s="12">
        <f t="shared" si="7"/>
        <v>1.0821041362364843</v>
      </c>
      <c r="E3" s="12">
        <f t="shared" si="8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48</v>
      </c>
      <c r="D4" s="12">
        <f t="shared" si="7"/>
        <v>0.83775804095727824</v>
      </c>
      <c r="E4" s="12">
        <f t="shared" si="8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41</v>
      </c>
      <c r="D5" s="12">
        <f t="shared" si="7"/>
        <v>0.71558499331767511</v>
      </c>
      <c r="E5" s="12">
        <f t="shared" si="8"/>
        <v>6.9813170079773182e-002</v>
      </c>
    </row>
    <row r="6">
      <c r="A6">
        <v>4000</v>
      </c>
      <c r="B6">
        <v>10</v>
      </c>
      <c r="C6">
        <v>35</v>
      </c>
      <c r="D6" s="12">
        <f t="shared" si="7"/>
        <v>0.6108652381980153</v>
      </c>
      <c r="E6" s="12">
        <f t="shared" si="8"/>
        <v>6.9813170079773182e-002</v>
      </c>
    </row>
    <row r="7">
      <c r="A7">
        <v>3500</v>
      </c>
      <c r="B7">
        <v>10</v>
      </c>
      <c r="C7">
        <v>23</v>
      </c>
      <c r="D7" s="12">
        <f t="shared" si="7"/>
        <v>0.4014257279586958</v>
      </c>
      <c r="E7" s="12">
        <f t="shared" si="8"/>
        <v>6.9813170079773182e-002</v>
      </c>
    </row>
    <row r="8">
      <c r="A8">
        <v>3000</v>
      </c>
      <c r="B8">
        <v>10</v>
      </c>
      <c r="C8">
        <v>20</v>
      </c>
      <c r="D8" s="12">
        <f t="shared" si="7"/>
        <v>0.3490658503988659</v>
      </c>
      <c r="E8" s="12">
        <f t="shared" si="8"/>
        <v>6.9813170079773182e-002</v>
      </c>
    </row>
    <row r="9">
      <c r="A9">
        <v>2500</v>
      </c>
      <c r="B9">
        <v>10</v>
      </c>
      <c r="C9">
        <v>14</v>
      </c>
      <c r="D9" s="12">
        <f t="shared" si="7"/>
        <v>0.24434609527920614</v>
      </c>
      <c r="E9" s="12">
        <f t="shared" si="8"/>
        <v>6.9813170079773182e-002</v>
      </c>
    </row>
    <row r="10">
      <c r="A10">
        <v>2000</v>
      </c>
      <c r="B10">
        <v>10</v>
      </c>
      <c r="C10">
        <v>10</v>
      </c>
      <c r="D10" s="12">
        <f>RADIANS(C10)</f>
        <v>0.17453292519943295</v>
      </c>
      <c r="E10" s="12">
        <f t="shared" si="8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" t="s">
        <v>13</v>
      </c>
      <c r="B1" s="14" t="s">
        <v>19</v>
      </c>
      <c r="C1" s="15" t="s">
        <v>20</v>
      </c>
      <c r="D1" s="3" t="s">
        <v>21</v>
      </c>
      <c r="E1" s="14" t="s">
        <v>16</v>
      </c>
      <c r="F1" s="2" t="s">
        <v>1</v>
      </c>
      <c r="G1" s="2" t="s">
        <v>2</v>
      </c>
    </row>
    <row r="2">
      <c r="A2">
        <v>6000</v>
      </c>
      <c r="B2">
        <v>10</v>
      </c>
      <c r="C2">
        <v>70</v>
      </c>
      <c r="D2" s="12">
        <f t="shared" ref="D2:D10" si="9">RADIANS(C2)</f>
        <v>1.2217304763960306</v>
      </c>
      <c r="E2" s="12">
        <f t="shared" ref="E2:E10" si="10">RADIANS(4)</f>
        <v>6.9813170079773182e-002</v>
      </c>
      <c r="F2">
        <v>3.9e-002</v>
      </c>
      <c r="G2" s="5">
        <f>F2/2</f>
        <v>1.95e-002</v>
      </c>
    </row>
    <row r="3">
      <c r="A3">
        <v>5500</v>
      </c>
      <c r="B3">
        <v>10</v>
      </c>
      <c r="C3">
        <v>65</v>
      </c>
      <c r="D3" s="12">
        <f t="shared" si="9"/>
        <v>1.1344640137963142</v>
      </c>
      <c r="E3" s="12">
        <f t="shared" si="10"/>
        <v>6.9813170079773182e-002</v>
      </c>
      <c r="F3" s="2" t="s">
        <v>0</v>
      </c>
      <c r="G3" s="2" t="s">
        <v>18</v>
      </c>
    </row>
    <row r="4">
      <c r="A4">
        <v>5000</v>
      </c>
      <c r="B4">
        <v>10</v>
      </c>
      <c r="C4">
        <v>61</v>
      </c>
      <c r="D4" s="12">
        <f t="shared" si="9"/>
        <v>1.064650843716541</v>
      </c>
      <c r="E4" s="12">
        <f t="shared" si="10"/>
        <v>6.9813170079773182e-002</v>
      </c>
      <c r="F4">
        <f>F2+0.08</f>
        <v>0.11899999999999999</v>
      </c>
      <c r="G4">
        <v>1.e-003</v>
      </c>
    </row>
    <row r="5">
      <c r="A5">
        <v>4500</v>
      </c>
      <c r="B5">
        <v>10</v>
      </c>
      <c r="C5">
        <v>59</v>
      </c>
      <c r="D5" s="12">
        <f t="shared" si="9"/>
        <v>1.0297442586766545</v>
      </c>
      <c r="E5" s="12">
        <f t="shared" si="10"/>
        <v>6.9813170079773182e-002</v>
      </c>
      <c r="F5" s="16" t="s">
        <v>22</v>
      </c>
    </row>
    <row r="6">
      <c r="A6">
        <v>4000</v>
      </c>
      <c r="B6">
        <v>10</v>
      </c>
      <c r="C6">
        <v>52</v>
      </c>
      <c r="D6" s="12">
        <f t="shared" si="9"/>
        <v>0.90757121103705141</v>
      </c>
      <c r="E6" s="12">
        <f t="shared" si="10"/>
        <v>6.9813170079773182e-002</v>
      </c>
      <c r="F6">
        <v>6000</v>
      </c>
    </row>
    <row r="7">
      <c r="A7">
        <v>3500</v>
      </c>
      <c r="B7">
        <v>10</v>
      </c>
      <c r="C7">
        <v>43</v>
      </c>
      <c r="D7" s="12">
        <f t="shared" si="9"/>
        <v>0.75049157835756175</v>
      </c>
      <c r="E7" s="12">
        <f t="shared" si="10"/>
        <v>6.9813170079773182e-002</v>
      </c>
    </row>
    <row r="8">
      <c r="A8">
        <v>3000</v>
      </c>
      <c r="B8">
        <v>10</v>
      </c>
      <c r="C8">
        <v>39</v>
      </c>
      <c r="D8" s="12">
        <f t="shared" si="9"/>
        <v>0.68067840827778847</v>
      </c>
      <c r="E8" s="12">
        <f t="shared" si="10"/>
        <v>6.9813170079773182e-002</v>
      </c>
    </row>
    <row r="9">
      <c r="A9">
        <v>2500</v>
      </c>
      <c r="B9">
        <v>10</v>
      </c>
      <c r="C9">
        <v>35</v>
      </c>
      <c r="D9" s="12">
        <f t="shared" si="9"/>
        <v>0.6108652381980153</v>
      </c>
      <c r="E9" s="12">
        <f t="shared" si="10"/>
        <v>6.9813170079773182e-002</v>
      </c>
    </row>
    <row r="10">
      <c r="A10">
        <v>2000</v>
      </c>
      <c r="B10">
        <v>10</v>
      </c>
      <c r="C10">
        <v>28</v>
      </c>
      <c r="D10" s="12">
        <f t="shared" si="9"/>
        <v>0.48869219055841229</v>
      </c>
      <c r="E10" s="12">
        <f t="shared" si="10"/>
        <v>6.9813170079773182e-002</v>
      </c>
    </row>
    <row r="13">
      <c r="H13" s="13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" t="s">
        <v>23</v>
      </c>
      <c r="B1" s="15" t="s">
        <v>20</v>
      </c>
      <c r="C1" s="3" t="s">
        <v>21</v>
      </c>
      <c r="D1" s="14" t="s">
        <v>16</v>
      </c>
      <c r="E1" s="2" t="s">
        <v>24</v>
      </c>
    </row>
    <row r="2">
      <c r="A2">
        <f>2*10^(-5)</f>
        <v>2.0000000000000002e-005</v>
      </c>
      <c r="B2">
        <v>136</v>
      </c>
      <c r="C2" s="12">
        <f t="shared" ref="C2:C6" si="11">RADIANS(B2)</f>
        <v>2.3736477827122884</v>
      </c>
      <c r="D2" s="12">
        <f t="shared" ref="D2:D6" si="12">RADIANS(4)</f>
        <v>6.9813170079773182e-002</v>
      </c>
    </row>
    <row r="3">
      <c r="A3">
        <v>4.0000000000000003e-005</v>
      </c>
      <c r="B3">
        <v>282</v>
      </c>
      <c r="C3" s="12">
        <f t="shared" si="11"/>
        <v>4.9218284906240095</v>
      </c>
      <c r="D3" s="12">
        <f t="shared" si="12"/>
        <v>6.9813170079773182e-002</v>
      </c>
    </row>
    <row r="4">
      <c r="A4">
        <v>5.0000000000000002e-005</v>
      </c>
      <c r="B4">
        <v>355</v>
      </c>
      <c r="C4" s="12">
        <f t="shared" si="11"/>
        <v>6.1959188445798699</v>
      </c>
      <c r="D4" s="12">
        <f t="shared" si="12"/>
        <v>6.9813170079773182e-002</v>
      </c>
    </row>
    <row r="5">
      <c r="A5">
        <v>6.9999999999999994e-005</v>
      </c>
      <c r="B5">
        <v>500</v>
      </c>
      <c r="C5" s="12">
        <f t="shared" si="11"/>
        <v>8.7266462599716483</v>
      </c>
      <c r="D5" s="12">
        <f t="shared" si="12"/>
        <v>6.9813170079773182e-002</v>
      </c>
    </row>
    <row r="6">
      <c r="A6">
        <v>9.0000000000000006e-005</v>
      </c>
      <c r="B6" s="17">
        <v>645</v>
      </c>
      <c r="C6" s="12">
        <f t="shared" si="11"/>
        <v>11.257373675363425</v>
      </c>
      <c r="D6" s="12">
        <f t="shared" si="12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4</cp:revision>
  <dcterms:created xsi:type="dcterms:W3CDTF">2026-04-28T05:59:56Z</dcterms:created>
  <dcterms:modified xsi:type="dcterms:W3CDTF">2026-05-26T15:04:19Z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