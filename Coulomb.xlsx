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sharedStrings.xml" ContentType="application/vnd.openxmlformats-officedocument.spreadsheetml.sharedStrings+xml"/>
  <Override PartName="/customXml/itemProps3.xml" ContentType="application/vnd.openxmlformats-officedocument.customXml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Angolo" sheetId="1" state="visible" r:id="rId5"/>
    <sheet name="Potenziale uguale" sheetId="2" state="visible" r:id="rId6"/>
    <sheet name="Potenziale diverso" sheetId="3" state="visible" r:id="rId7"/>
    <sheet name="Costante di torsione" sheetId="4" state="visible" r:id="rId8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<sst xmlns="http://schemas.openxmlformats.org/spreadsheetml/2006/main" count="24" uniqueCount="24">
  <si>
    <t xml:space="preserve">r [m]</t>
  </si>
  <si>
    <t xml:space="preserve">d [m]</t>
  </si>
  <si>
    <t xml:space="preserve">a [m]</t>
  </si>
  <si>
    <t xml:space="preserve">errore a [m]</t>
  </si>
  <si>
    <t xml:space="preserve">θ (°)</t>
  </si>
  <si>
    <t xml:space="preserve">Media (°)</t>
  </si>
  <si>
    <t xml:space="preserve">Media (rad)</t>
  </si>
  <si>
    <t xml:space="preserve">Dev.std (°)</t>
  </si>
  <si>
    <t xml:space="preserve">Dev.std (rad)</t>
  </si>
  <si>
    <t xml:space="preserve">Err.Media (°)</t>
  </si>
  <si>
    <t xml:space="preserve">Err.Media (rad)</t>
  </si>
  <si>
    <r>
      <rPr>
        <sz val="11"/>
        <color theme="1"/>
        <rFont val="Aptos Narrow"/>
        <scheme val="minor"/>
      </rPr>
      <t>r</t>
    </r>
    <r>
      <rPr>
        <vertAlign val="subscript"/>
        <sz val="11"/>
        <color theme="1"/>
        <rFont val="Aptos Narrow"/>
        <scheme val="minor"/>
      </rPr>
      <t>eff</t>
    </r>
  </si>
  <si>
    <t xml:space="preserve">Errore r</t>
  </si>
  <si>
    <t xml:space="preserve">Potenziale [V]</t>
  </si>
  <si>
    <t xml:space="preserve">Err.Pot [V] </t>
  </si>
  <si>
    <t xml:space="preserve">θ (rad)</t>
  </si>
  <si>
    <t xml:space="preserve">Err.θ [rad]</t>
  </si>
  <si>
    <t xml:space="preserve">                                                                                                       </t>
  </si>
  <si>
    <t xml:space="preserve">Err.Pot [V]</t>
  </si>
  <si>
    <t xml:space="preserve">θ [°]</t>
  </si>
  <si>
    <t xml:space="preserve">θ [rad]</t>
  </si>
  <si>
    <t xml:space="preserve">Potenziale fisso</t>
  </si>
  <si>
    <t xml:space="preserve">Massa [kg]</t>
  </si>
  <si>
    <t xml:space="preserve">b=118,15 mm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</si>
</sst>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Aptos Narrow"/>
      <scheme val="minor"/>
    </font>
    <font>
      <u/>
      <sz val="11.000000"/>
      <color theme="1"/>
      <name val="Aptos Narrow"/>
      <scheme val="minor"/>
    </font>
    <font>
      <sz val="11.000000"/>
      <name val="Aptos Narrow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theme="9" tint="-0.249977111117893"/>
      </patternFill>
    </fill>
    <fill>
      <patternFill patternType="solid">
        <fgColor theme="5"/>
      </patternFill>
    </fill>
    <fill>
      <patternFill patternType="solid">
        <fgColor theme="4" tint="0"/>
        <bgColor theme="4" tint="0"/>
      </patternFill>
    </fill>
    <fill>
      <patternFill patternType="solid">
        <fgColor theme="5" tint="0"/>
        <bgColor theme="5" tint="0"/>
      </patternFill>
    </fill>
    <fill>
      <patternFill patternType="solid">
        <fgColor indexed="5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0">
    <xf fontId="0" fillId="0" borderId="0" numFmtId="0" xfId="0"/>
    <xf fontId="0" fillId="2" borderId="0" numFmtId="0" xfId="0" applyFill="1" applyAlignment="1">
      <alignment horizontal="center"/>
    </xf>
    <xf fontId="0" fillId="2" borderId="0" numFmtId="0" xfId="0" applyFill="1"/>
    <xf fontId="0" fillId="3" borderId="0" numFmtId="0" xfId="0" applyFill="1"/>
    <xf fontId="0" fillId="3" borderId="0" numFmtId="2" xfId="0" applyNumberFormat="1" applyFill="1"/>
    <xf fontId="0" fillId="4" borderId="1" numFmtId="0" xfId="0" applyFill="1" applyBorder="1" applyAlignment="1">
      <alignment horizontal="center" vertical="center"/>
    </xf>
    <xf fontId="0" fillId="4" borderId="2" numFmtId="0" xfId="0" applyFill="1" applyBorder="1" applyAlignment="1">
      <alignment horizontal="center" vertical="center"/>
    </xf>
    <xf fontId="0" fillId="4" borderId="3" numFmtId="0" xfId="0" applyFill="1" applyBorder="1" applyAlignment="1">
      <alignment horizontal="center" vertical="center"/>
    </xf>
    <xf fontId="0" fillId="4" borderId="0" numFmtId="0" xfId="0" applyFill="1"/>
    <xf fontId="1" fillId="0" borderId="0" numFmtId="0" xfId="0" applyFont="1"/>
    <xf fontId="0" fillId="0" borderId="0" numFmtId="0" xfId="0"/>
    <xf fontId="0" fillId="5" borderId="0" numFmtId="0" xfId="0" applyFill="1"/>
    <xf fontId="0" fillId="3" borderId="0" numFmtId="0" xfId="0" applyFill="1" applyAlignment="1">
      <alignment vertical="center"/>
    </xf>
    <xf fontId="0" fillId="0" borderId="0" numFmtId="0" xfId="0">
      <protection hidden="0" locked="1"/>
    </xf>
    <xf fontId="0" fillId="3" borderId="0" numFmtId="0" xfId="0" applyFill="1"/>
    <xf fontId="0" fillId="3" borderId="0" numFmtId="0" xfId="0" applyFill="1" applyAlignment="1">
      <alignment vertical="center"/>
    </xf>
    <xf fontId="2" fillId="6" borderId="0" numFmtId="0" xfId="0" applyFont="1" applyFill="1"/>
    <xf fontId="0" fillId="5" borderId="0" numFmtId="0" xfId="0" applyFill="1"/>
    <xf fontId="0" fillId="0" borderId="0" numFmtId="0" xfId="0">
      <protection hidden="0" locked="1"/>
    </xf>
    <xf fontId="2" fillId="0" borderId="0" numFmt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ustomXml" Target="../customXml/item1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customXml" Target="../customXml/item2.xml"/><Relationship  Id="rId3" Type="http://schemas.openxmlformats.org/officeDocument/2006/relationships/customXml" Target="../customXml/item3.xml"/><Relationship  Id="rId4" Type="http://schemas.openxmlformats.org/officeDocument/2006/relationships/customXml" Target="../customXml/item4.xml"/><Relationship  Id="rId5" Type="http://schemas.openxmlformats.org/officeDocument/2006/relationships/worksheet" Target="worksheets/sheet1.xml"/><Relationship  Id="rId6" Type="http://schemas.openxmlformats.org/officeDocument/2006/relationships/worksheet" Target="worksheets/sheet2.xml"/><Relationship  Id="rId7" Type="http://schemas.openxmlformats.org/officeDocument/2006/relationships/worksheet" Target="worksheets/sheet3.xml"/><Relationship  Id="rId8" Type="http://schemas.openxmlformats.org/officeDocument/2006/relationships/worksheet" Target="worksheets/sheet4.xml"/><Relationship  Id="rId9" Type="http://schemas.openxmlformats.org/officeDocument/2006/relationships/theme" Target="theme/theme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23" activeCellId="0" sqref="F23"/>
    </sheetView>
  </sheetViews>
  <sheetFormatPr defaultRowHeight="14.25"/>
  <cols>
    <col bestFit="1" customWidth="1" min="1" max="1" width="12.703125"/>
    <col bestFit="1" customWidth="1" min="2" max="2" width="11.125"/>
    <col bestFit="1" min="3" max="3" width="11.125"/>
    <col bestFit="1" customWidth="1" min="4" max="4" width="11.125"/>
    <col bestFit="1" min="5" max="5" width="11.125"/>
    <col bestFit="1" customWidth="1" min="6" max="6" width="11.125"/>
    <col bestFit="1" min="7" max="7" width="11.125"/>
    <col bestFit="1" customWidth="1" min="8" max="8" width="7.125"/>
    <col bestFit="1" customWidth="1" min="9" max="9" width="8.125"/>
    <col bestFit="1" customWidth="1" min="10" max="10" width="9.875"/>
  </cols>
  <sheetData>
    <row r="1">
      <c r="B1" s="1" t="s">
        <v>0</v>
      </c>
      <c r="C1" s="1"/>
      <c r="D1" s="1"/>
      <c r="E1" s="1"/>
      <c r="F1" s="1"/>
      <c r="G1" s="1"/>
      <c r="H1" s="2" t="s">
        <v>1</v>
      </c>
      <c r="I1" s="2" t="s">
        <v>2</v>
      </c>
      <c r="J1" s="2" t="s">
        <v>3</v>
      </c>
    </row>
    <row r="2">
      <c r="B2" s="3">
        <v>5.9999999999999998e-002</v>
      </c>
      <c r="C2" s="3">
        <v>8.0000000000000002e-002</v>
      </c>
      <c r="D2" s="4">
        <v>0.10000000000000001</v>
      </c>
      <c r="E2" s="3">
        <v>0.14999999999999999</v>
      </c>
      <c r="F2" s="3">
        <v>0.17999999999999999</v>
      </c>
      <c r="G2" s="3">
        <v>0.20000000000000001</v>
      </c>
      <c r="H2">
        <v>3.9e-002</v>
      </c>
      <c r="I2">
        <f>H2/2</f>
        <v>1.95e-002</v>
      </c>
      <c r="J2">
        <v>1.e-003</v>
      </c>
    </row>
    <row r="3">
      <c r="A3" s="5" t="s">
        <v>4</v>
      </c>
      <c r="B3">
        <v>97</v>
      </c>
      <c r="C3">
        <v>69</v>
      </c>
      <c r="D3">
        <v>49</v>
      </c>
      <c r="E3">
        <v>29</v>
      </c>
      <c r="F3">
        <v>19</v>
      </c>
      <c r="G3">
        <v>14</v>
      </c>
    </row>
    <row r="4">
      <c r="A4" s="6"/>
      <c r="B4">
        <v>99</v>
      </c>
      <c r="C4">
        <v>66</v>
      </c>
      <c r="D4">
        <v>49</v>
      </c>
      <c r="E4">
        <v>30</v>
      </c>
      <c r="F4">
        <v>20</v>
      </c>
      <c r="G4">
        <v>15</v>
      </c>
    </row>
    <row r="5">
      <c r="A5" s="7"/>
      <c r="B5">
        <v>98</v>
      </c>
      <c r="C5">
        <v>69</v>
      </c>
      <c r="D5">
        <v>50</v>
      </c>
      <c r="E5">
        <v>29</v>
      </c>
      <c r="F5">
        <v>20</v>
      </c>
      <c r="G5">
        <v>14</v>
      </c>
    </row>
    <row r="7" ht="14.25">
      <c r="A7" s="8" t="s">
        <v>5</v>
      </c>
      <c r="B7">
        <f>AVERAGE(B3:B5)</f>
        <v>98</v>
      </c>
      <c r="C7">
        <f>AVERAGE(C3:C5)</f>
        <v>68</v>
      </c>
      <c r="D7">
        <f>AVERAGE(D3:D5)</f>
        <v>49.333333333333336</v>
      </c>
      <c r="E7">
        <f>AVERAGE(E3:E5)</f>
        <v>29.333333333333332</v>
      </c>
      <c r="F7">
        <f>AVERAGE(F3:F5)</f>
        <v>19.666666666666668</v>
      </c>
      <c r="G7">
        <f>AVERAGE(G3:G5)</f>
        <v>14.333333333333334</v>
      </c>
    </row>
    <row r="8">
      <c r="A8" s="8" t="s">
        <v>6</v>
      </c>
      <c r="B8">
        <f>RADIANS(B7)</f>
        <v>1.7104226669544429</v>
      </c>
      <c r="C8">
        <f>RADIANS(C7)</f>
        <v>1.1868238913561442</v>
      </c>
      <c r="D8">
        <f>RADIANS(D7)</f>
        <v>0.86102909765053581</v>
      </c>
      <c r="E8">
        <f>RADIANS(E7)</f>
        <v>0.51196324725166997</v>
      </c>
      <c r="F8">
        <f>RADIANS(F7)</f>
        <v>0.34324808622555147</v>
      </c>
      <c r="G8">
        <f>RADIANS(G7)</f>
        <v>0.25016385945252056</v>
      </c>
    </row>
    <row r="9">
      <c r="A9" s="8" t="s">
        <v>7</v>
      </c>
      <c r="B9">
        <f>_xlfn.STDEV.S(B3:B5)</f>
        <v>1</v>
      </c>
      <c r="C9">
        <f>_xlfn.STDEV.S(C3:C5)</f>
        <v>1.7320508075688772</v>
      </c>
      <c r="D9">
        <f>_xlfn.STDEV.S(D3:D5)</f>
        <v>0.57735026918962584</v>
      </c>
      <c r="E9">
        <f>_xlfn.STDEV.S(E3:E5)</f>
        <v>0.57735026918962584</v>
      </c>
      <c r="F9">
        <f>_xlfn.STDEV.S(F3:F5)</f>
        <v>0.57735026918962584</v>
      </c>
      <c r="G9">
        <f>_xlfn.STDEV.S(G3:G5)</f>
        <v>0.57735026918962573</v>
      </c>
    </row>
    <row r="10">
      <c r="A10" s="8" t="s">
        <v>8</v>
      </c>
      <c r="B10">
        <f>RADIANS(B9)</f>
        <v>1.7453292519943295e-002</v>
      </c>
      <c r="C10">
        <f>RADIANS(C9)</f>
        <v>3.0229989403903628e-002</v>
      </c>
      <c r="D10">
        <f>RADIANS(D9)</f>
        <v>1.0076663134634544e-002</v>
      </c>
      <c r="E10">
        <f>RADIANS(E9)</f>
        <v>1.0076663134634544e-002</v>
      </c>
      <c r="F10">
        <f>RADIANS(F9)</f>
        <v>1.0076663134634544e-002</v>
      </c>
      <c r="G10">
        <f>RADIANS(G9)</f>
        <v>1.0076663134634543e-002</v>
      </c>
      <c r="H10" s="9"/>
    </row>
    <row r="11">
      <c r="A11" s="8" t="s">
        <v>9</v>
      </c>
      <c r="B11">
        <f>B9/D9*2</f>
        <v>3.4641016151377539</v>
      </c>
      <c r="C11">
        <f>C9/D9*2</f>
        <v>5.9999999999999991</v>
      </c>
      <c r="D11">
        <v>2</v>
      </c>
      <c r="E11">
        <v>2</v>
      </c>
      <c r="F11">
        <v>2</v>
      </c>
      <c r="G11">
        <v>2</v>
      </c>
    </row>
    <row r="12">
      <c r="A12" s="8" t="s">
        <v>10</v>
      </c>
      <c r="B12">
        <f>RADIANS(B11)</f>
        <v>6.0459978807807249e-002</v>
      </c>
      <c r="C12">
        <f>RADIANS(C11)</f>
        <v>0.10471975511965975</v>
      </c>
      <c r="D12">
        <f>RADIANS(D11)</f>
        <v>3.4906585039886591e-002</v>
      </c>
      <c r="E12">
        <f>RADIANS(E11)</f>
        <v>3.4906585039886591e-002</v>
      </c>
      <c r="F12">
        <f>RADIANS(F11)</f>
        <v>3.4906585039886591e-002</v>
      </c>
      <c r="G12">
        <f>RADIANS(G11)</f>
        <v>3.4906585039886591e-002</v>
      </c>
    </row>
    <row r="14" ht="14.25">
      <c r="A14" s="8" t="s">
        <v>11</v>
      </c>
      <c r="B14">
        <f>B2+$H$2</f>
        <v>9.9000000000000005e-002</v>
      </c>
      <c r="C14">
        <f>C2+$H$2</f>
        <v>0.11899999999999999</v>
      </c>
      <c r="D14">
        <f>D2+$H$2</f>
        <v>0.13900000000000001</v>
      </c>
      <c r="E14">
        <f>E2+$H$2</f>
        <v>0.189</v>
      </c>
      <c r="F14">
        <f>F2+$H$2</f>
        <v>0.219</v>
      </c>
      <c r="G14">
        <f>G2+$H$2</f>
        <v>0.23900000000000002</v>
      </c>
    </row>
    <row r="15" ht="14.25">
      <c r="A15" s="8" t="s">
        <v>12</v>
      </c>
      <c r="B15">
        <v>1.e-003</v>
      </c>
      <c r="C15">
        <v>1.e-003</v>
      </c>
      <c r="D15">
        <v>1.e-003</v>
      </c>
      <c r="E15" s="10">
        <v>1.e-003</v>
      </c>
      <c r="F15" s="10">
        <v>1.e-003</v>
      </c>
      <c r="G15" s="10">
        <v>1.e-003</v>
      </c>
    </row>
    <row r="18" ht="14.25">
      <c r="A18" s="8" t="s">
        <v>9</v>
      </c>
      <c r="B18">
        <f>(B10/$G$10)*$G$12</f>
        <v>6.0459978807807263e-002</v>
      </c>
      <c r="C18">
        <f>(C10/$G$10)*$G$12</f>
        <v>0.10471975511965978</v>
      </c>
      <c r="D18">
        <f>(D10/$G$10)*$G$12</f>
        <v>3.4906585039886598e-002</v>
      </c>
      <c r="E18">
        <f>(E10/$G$10)*$G$12</f>
        <v>3.4906585039886598e-002</v>
      </c>
      <c r="F18">
        <f>(F10/$G$10)*$G$12</f>
        <v>3.4906585039886598e-002</v>
      </c>
      <c r="G18">
        <f>(G10/$G$10)*$G$12</f>
        <v>3.4906585039886591e-002</v>
      </c>
    </row>
    <row r="19" ht="14.25">
      <c r="B19">
        <f>DEGREES(B18)</f>
        <v>3.4641016151377548</v>
      </c>
      <c r="C19">
        <f>DEGREES(C18)</f>
        <v>6</v>
      </c>
      <c r="D19">
        <f>DEGREES(D18)</f>
        <v>2.0000000000000004</v>
      </c>
      <c r="E19">
        <f>DEGREES(E18)</f>
        <v>2.0000000000000004</v>
      </c>
      <c r="F19">
        <f>DEGREES(F18)</f>
        <v>2.0000000000000004</v>
      </c>
      <c r="G19">
        <f>DEGREES(G18)</f>
        <v>2</v>
      </c>
    </row>
  </sheetData>
  <mergeCells count="2">
    <mergeCell ref="B1:G1"/>
    <mergeCell ref="A3:A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3" activeCellId="0" sqref="B13"/>
    </sheetView>
  </sheetViews>
  <sheetFormatPr defaultRowHeight="14.25"/>
  <cols>
    <col customWidth="1" min="1" max="1" width="14.2578125"/>
    <col bestFit="1" min="2" max="2" width="9.54296875"/>
    <col bestFit="1" min="4" max="4" width="11.125"/>
    <col bestFit="1" min="5" max="5" width="9.54296875"/>
    <col bestFit="1" min="6" max="6" width="7.125"/>
    <col customWidth="1" min="12" max="12" width="13.85546875"/>
  </cols>
  <sheetData>
    <row r="1">
      <c r="A1" s="3" t="s">
        <v>13</v>
      </c>
      <c r="B1" s="11" t="s">
        <v>14</v>
      </c>
      <c r="C1" s="12" t="s">
        <v>4</v>
      </c>
      <c r="D1" s="3" t="s">
        <v>15</v>
      </c>
      <c r="E1" s="11" t="s">
        <v>16</v>
      </c>
      <c r="F1" s="2" t="s">
        <v>1</v>
      </c>
      <c r="G1" s="2" t="s">
        <v>2</v>
      </c>
    </row>
    <row r="2">
      <c r="A2">
        <v>6000</v>
      </c>
      <c r="B2">
        <v>10</v>
      </c>
      <c r="C2">
        <v>70</v>
      </c>
      <c r="D2">
        <f t="shared" ref="D2:D9" si="0">RADIANS(C2)</f>
        <v>1.2217304763960306</v>
      </c>
      <c r="E2" s="13">
        <v>5.2359877999999999e-002</v>
      </c>
      <c r="F2" s="13">
        <v>3.9e-002</v>
      </c>
      <c r="G2" s="13">
        <f>F2/2</f>
        <v>1.95e-002</v>
      </c>
      <c r="N2" t="s">
        <v>17</v>
      </c>
    </row>
    <row r="3">
      <c r="A3">
        <v>5500</v>
      </c>
      <c r="B3">
        <v>10</v>
      </c>
      <c r="C3">
        <v>62</v>
      </c>
      <c r="D3">
        <f t="shared" si="0"/>
        <v>1.0821041362364843</v>
      </c>
      <c r="E3" s="13">
        <v>5.2359877999999999e-002</v>
      </c>
      <c r="F3" s="2" t="s">
        <v>0</v>
      </c>
      <c r="G3" s="2" t="s">
        <v>3</v>
      </c>
    </row>
    <row r="4">
      <c r="A4">
        <v>5000</v>
      </c>
      <c r="B4">
        <v>10</v>
      </c>
      <c r="C4">
        <v>48</v>
      </c>
      <c r="D4">
        <f t="shared" si="0"/>
        <v>0.83775804095727813</v>
      </c>
      <c r="E4" s="13">
        <v>5.2359877999999999e-002</v>
      </c>
      <c r="F4">
        <f>F2+0.08</f>
        <v>0.11899999999999999</v>
      </c>
      <c r="G4" s="13">
        <v>1.e-003</v>
      </c>
    </row>
    <row r="5">
      <c r="A5">
        <v>4500</v>
      </c>
      <c r="B5">
        <v>10</v>
      </c>
      <c r="C5">
        <v>41</v>
      </c>
      <c r="D5">
        <f t="shared" si="0"/>
        <v>0.715584993317675</v>
      </c>
      <c r="E5" s="13">
        <v>5.2359877999999999e-002</v>
      </c>
    </row>
    <row r="6">
      <c r="A6">
        <v>4000</v>
      </c>
      <c r="B6">
        <v>10</v>
      </c>
      <c r="C6">
        <v>35</v>
      </c>
      <c r="D6">
        <f t="shared" si="0"/>
        <v>0.6108652381980153</v>
      </c>
      <c r="E6" s="13">
        <v>5.2359877999999999e-002</v>
      </c>
    </row>
    <row r="7">
      <c r="A7">
        <v>3500</v>
      </c>
      <c r="B7">
        <v>10</v>
      </c>
      <c r="C7">
        <v>23</v>
      </c>
      <c r="D7">
        <f t="shared" si="0"/>
        <v>0.40142572795869574</v>
      </c>
      <c r="E7" s="13">
        <v>5.2359877999999999e-002</v>
      </c>
    </row>
    <row r="8">
      <c r="A8">
        <v>3000</v>
      </c>
      <c r="B8">
        <v>10</v>
      </c>
      <c r="C8">
        <v>20</v>
      </c>
      <c r="D8">
        <f t="shared" si="0"/>
        <v>0.3490658503988659</v>
      </c>
      <c r="E8" s="13">
        <v>5.2359877999999999e-002</v>
      </c>
    </row>
    <row r="9">
      <c r="A9">
        <v>2500</v>
      </c>
      <c r="B9">
        <v>10</v>
      </c>
      <c r="C9">
        <v>14</v>
      </c>
      <c r="D9">
        <f t="shared" si="0"/>
        <v>0.24434609527920614</v>
      </c>
      <c r="E9" s="13">
        <v>5.2359877999999999e-002</v>
      </c>
    </row>
    <row r="10">
      <c r="A10">
        <v>2000</v>
      </c>
      <c r="B10">
        <v>10</v>
      </c>
      <c r="C10">
        <v>10</v>
      </c>
      <c r="D10">
        <f>RADIANS(C10)</f>
        <v>0.17453292519943295</v>
      </c>
      <c r="E10" s="13">
        <v>5.2359878000000026e-002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16" activeCellId="0" sqref="E16"/>
    </sheetView>
  </sheetViews>
  <sheetFormatPr defaultRowHeight="14.25"/>
  <cols>
    <col bestFit="1" customWidth="1" min="1" max="1" width="11.875"/>
    <col bestFit="1" customWidth="1" min="2" max="2" width="9.04296875"/>
    <col bestFit="1" min="3" max="3" width="3.875"/>
    <col bestFit="1" customWidth="1" min="4" max="4" width="11.125"/>
    <col bestFit="1" min="5" max="5" width="11.125"/>
    <col bestFit="1" min="6" max="6" width="13.375"/>
    <col bestFit="1" min="7" max="7" width="9.875"/>
    <col customWidth="1" min="8" max="8" width="14.125"/>
  </cols>
  <sheetData>
    <row r="1">
      <c r="A1" s="14" t="s">
        <v>13</v>
      </c>
      <c r="B1" s="11" t="s">
        <v>18</v>
      </c>
      <c r="C1" s="15" t="s">
        <v>19</v>
      </c>
      <c r="D1" s="14" t="s">
        <v>20</v>
      </c>
      <c r="E1" s="11" t="s">
        <v>16</v>
      </c>
      <c r="F1" s="2" t="s">
        <v>1</v>
      </c>
      <c r="G1" s="2" t="s">
        <v>2</v>
      </c>
    </row>
    <row r="2">
      <c r="A2">
        <v>6000</v>
      </c>
      <c r="B2">
        <v>10</v>
      </c>
      <c r="C2">
        <v>70</v>
      </c>
      <c r="D2">
        <f>RADIANS(C2)</f>
        <v>1.2217304763960306</v>
      </c>
      <c r="E2" s="13">
        <v>5.2359877999999999e-002</v>
      </c>
      <c r="F2" s="13">
        <v>3.9e-002</v>
      </c>
      <c r="G2" s="13">
        <f>F2/2</f>
        <v>1.95e-002</v>
      </c>
    </row>
    <row r="3">
      <c r="A3">
        <v>5500</v>
      </c>
      <c r="B3">
        <v>10</v>
      </c>
      <c r="C3">
        <v>65</v>
      </c>
      <c r="D3">
        <f>RADIANS(C3)</f>
        <v>1.1344640137963142</v>
      </c>
      <c r="E3" s="13">
        <v>5.2359877999999999e-002</v>
      </c>
      <c r="F3" s="2" t="s">
        <v>0</v>
      </c>
      <c r="G3" s="2" t="s">
        <v>3</v>
      </c>
    </row>
    <row r="4">
      <c r="A4">
        <v>5000</v>
      </c>
      <c r="B4">
        <v>10</v>
      </c>
      <c r="C4">
        <v>61</v>
      </c>
      <c r="D4">
        <f>RADIANS(C4)</f>
        <v>1.064650843716541</v>
      </c>
      <c r="E4" s="13">
        <v>5.2359877999999999e-002</v>
      </c>
      <c r="F4" s="13">
        <f>F2+0.08</f>
        <v>0.11899999999999999</v>
      </c>
      <c r="G4" s="13">
        <v>1.e-003</v>
      </c>
    </row>
    <row r="5">
      <c r="A5">
        <v>4500</v>
      </c>
      <c r="B5">
        <v>10</v>
      </c>
      <c r="C5">
        <v>59</v>
      </c>
      <c r="D5">
        <f>RADIANS(C5)</f>
        <v>1.0297442586766543</v>
      </c>
      <c r="E5" s="13">
        <v>5.2359877999999999e-002</v>
      </c>
      <c r="F5" s="16" t="s">
        <v>21</v>
      </c>
    </row>
    <row r="6">
      <c r="A6">
        <v>4000</v>
      </c>
      <c r="B6">
        <v>10</v>
      </c>
      <c r="C6">
        <v>52</v>
      </c>
      <c r="D6">
        <f>RADIANS(C6)</f>
        <v>0.90757121103705141</v>
      </c>
      <c r="E6" s="13">
        <v>5.2359877999999999e-002</v>
      </c>
      <c r="F6">
        <v>6000</v>
      </c>
    </row>
    <row r="7">
      <c r="A7">
        <v>3500</v>
      </c>
      <c r="B7">
        <v>10</v>
      </c>
      <c r="C7">
        <v>43</v>
      </c>
      <c r="D7">
        <f>RADIANS(C7)</f>
        <v>0.75049157835756164</v>
      </c>
      <c r="E7" s="13">
        <v>5.2359877999999999e-002</v>
      </c>
    </row>
    <row r="8">
      <c r="A8">
        <v>3000</v>
      </c>
      <c r="B8">
        <v>10</v>
      </c>
      <c r="C8">
        <v>39</v>
      </c>
      <c r="D8">
        <f>RADIANS(C8)</f>
        <v>0.68067840827778847</v>
      </c>
      <c r="E8" s="13">
        <v>5.2359877999999999e-002</v>
      </c>
    </row>
    <row r="9">
      <c r="A9">
        <v>2500</v>
      </c>
      <c r="B9">
        <v>10</v>
      </c>
      <c r="C9">
        <v>35</v>
      </c>
      <c r="D9">
        <f>RADIANS(C9)</f>
        <v>0.6108652381980153</v>
      </c>
      <c r="E9" s="13">
        <v>5.2359877999999999e-002</v>
      </c>
    </row>
    <row r="10">
      <c r="A10">
        <v>2000</v>
      </c>
      <c r="B10">
        <v>10</v>
      </c>
      <c r="C10">
        <v>28</v>
      </c>
      <c r="D10">
        <f>RADIANS(C10)</f>
        <v>0.48869219055841229</v>
      </c>
      <c r="E10" s="13">
        <v>5.2359878000000026e-002</v>
      </c>
    </row>
    <row r="13">
      <c r="H13" s="9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9" activeCellId="0" sqref="E9"/>
    </sheetView>
  </sheetViews>
  <sheetFormatPr defaultRowHeight="14.25"/>
  <cols>
    <col customWidth="1" min="1" max="1" width="12.375"/>
    <col customWidth="1" min="3" max="3" width="13.5859375"/>
    <col customWidth="1" min="4" max="4" width="12.23828125"/>
    <col bestFit="1" min="5" max="6" width="11.703125"/>
  </cols>
  <sheetData>
    <row r="1">
      <c r="A1" s="14" t="s">
        <v>22</v>
      </c>
      <c r="B1" s="15" t="s">
        <v>19</v>
      </c>
      <c r="C1" s="14" t="s">
        <v>20</v>
      </c>
      <c r="D1" s="17" t="s">
        <v>16</v>
      </c>
      <c r="E1" s="2" t="s">
        <v>23</v>
      </c>
    </row>
    <row r="2">
      <c r="A2">
        <f>2*10^(-5)</f>
        <v>2.0000000000000002e-005</v>
      </c>
      <c r="B2">
        <v>136</v>
      </c>
      <c r="C2">
        <f>RADIANS(B2)</f>
        <v>2.3736477827122884</v>
      </c>
      <c r="D2" s="18">
        <f>RADIANS(4)</f>
        <v>6.9813170079773182e-002</v>
      </c>
    </row>
    <row r="3">
      <c r="A3">
        <v>4.0000000000000003e-005</v>
      </c>
      <c r="B3">
        <v>282</v>
      </c>
      <c r="C3">
        <f>RADIANS(B3)</f>
        <v>4.9218284906240086</v>
      </c>
      <c r="D3" s="18">
        <f>RADIANS(4)</f>
        <v>6.9813170079773182e-002</v>
      </c>
    </row>
    <row r="4">
      <c r="A4">
        <v>5.0000000000000002e-005</v>
      </c>
      <c r="B4">
        <v>355</v>
      </c>
      <c r="C4">
        <f>RADIANS(B4)</f>
        <v>6.1959188445798699</v>
      </c>
      <c r="D4" s="18">
        <f>RADIANS(4)</f>
        <v>6.9813170079773182e-002</v>
      </c>
    </row>
    <row r="5">
      <c r="A5">
        <v>6.9999999999999994e-005</v>
      </c>
      <c r="B5">
        <v>500</v>
      </c>
      <c r="C5">
        <f>RADIANS(B5)</f>
        <v>8.7266462599716466</v>
      </c>
      <c r="D5" s="18">
        <f>RADIANS(4)</f>
        <v>6.9813170079773182e-002</v>
      </c>
    </row>
    <row r="6">
      <c r="A6">
        <v>9.0000000000000006e-005</v>
      </c>
      <c r="B6" s="19">
        <v>645</v>
      </c>
      <c r="C6">
        <f>RADIANS(B6)</f>
        <v>11.257373675363425</v>
      </c>
      <c r="D6" s="18">
        <f>RADIANS(4)</f>
        <v>6.9813170079773182e-002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_rels/item4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46E5DF961F39408DE43B15EF6999B1" ma:contentTypeVersion="11" ma:contentTypeDescription="Creare un nuovo documento." ma:contentTypeScope="" ma:versionID="254c620abb66516fcb15e42ffae33bb8">
  <xsd:schema xmlns:xsd="http://www.w3.org/2001/XMLSchema" xmlns:xs="http://www.w3.org/2001/XMLSchema" xmlns:p="http://schemas.microsoft.com/office/2006/metadata/properties" xmlns:ns3="d72476d7-13f4-49c1-b8ad-54b424d3f220" targetNamespace="http://schemas.microsoft.com/office/2006/metadata/properties" ma:root="true" ma:fieldsID="9a875c36fd520a00607c3671a0b9cfc6" ns3:_="">
    <xsd:import namespace="d72476d7-13f4-49c1-b8ad-54b424d3f22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2476d7-13f4-49c1-b8ad-54b424d3f22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72476d7-13f4-49c1-b8ad-54b424d3f220" xsi:nil="true"/>
  </documentManagement>
</p:properties>
</file>

<file path=customXml/item4.xml>
</file>

<file path=customXml/itemProps1.xml><?xml version="1.0" encoding="utf-8"?>
<ds:datastoreItem xmlns:ds="http://schemas.openxmlformats.org/officeDocument/2006/customXml" ds:itemID="F11B7099-440B-490B-A861-BFA2A7C8EBF7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d72476d7-13f4-49c1-b8ad-54b424d3f220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2001/XMLSchema-instance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36220265-74EC-4347-B552-ED1EB602B3E7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784B2A05-BFD3-4270-A078-C7A8A4FE6EB9">
  <ds:schemaRefs>
    <ds:schemaRef ds:uri="http://schemas.microsoft.com/office/2006/metadata/properties"/>
    <ds:schemaRef ds:uri="http://www.w3.org/2000/xmlns/"/>
    <ds:schemaRef ds:uri="d72476d7-13f4-49c1-b8ad-54b424d3f220"/>
    <ds:schemaRef ds:uri="http://www.w3.org/2001/XMLSchema-instance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FB6CAFCD-1DEC-49C0-A40A-CD1CA0867B32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m.declich@campus.unimib.it</dc:creator>
  <cp:keywords/>
  <dc:description/>
  <cp:revision>3</cp:revision>
  <dcterms:created xsi:type="dcterms:W3CDTF">2026-04-28T05:59:56Z</dcterms:created>
  <dcterms:modified xsi:type="dcterms:W3CDTF">2026-05-09T12:45:30Z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0x0101009346E5DF961F39408DE43B15EF6999B1</vt:lpwstr>
  </property>
</Properties>
</file>