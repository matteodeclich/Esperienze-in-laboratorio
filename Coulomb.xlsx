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<sst xmlns="http://schemas.openxmlformats.org/spreadsheetml/2006/main" count="25" uniqueCount="25">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</sst>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7" width="14.33203125"/>
    <col bestFit="1" customWidth="1" min="8" max="8" width="7.265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3.9e-002</v>
      </c>
      <c r="I2">
        <f>H2/2</f>
        <v>1.95e-002</v>
      </c>
    </row>
    <row r="3">
      <c r="A3" s="6" t="s">
        <v>3</v>
      </c>
      <c r="B3">
        <v>97</v>
      </c>
      <c r="C3">
        <v>69</v>
      </c>
      <c r="D3">
        <v>47</v>
      </c>
      <c r="E3">
        <v>28</v>
      </c>
      <c r="F3">
        <v>19</v>
      </c>
      <c r="G3">
        <v>14</v>
      </c>
      <c r="H3" s="1" t="s">
        <v>4</v>
      </c>
      <c r="I3" s="1"/>
    </row>
    <row r="4">
      <c r="A4" s="7"/>
      <c r="B4">
        <v>99</v>
      </c>
      <c r="C4">
        <v>66</v>
      </c>
      <c r="D4">
        <v>49</v>
      </c>
      <c r="E4">
        <v>30</v>
      </c>
      <c r="F4">
        <v>18</v>
      </c>
      <c r="G4">
        <v>15</v>
      </c>
      <c r="H4" s="8">
        <v>1.e-003</v>
      </c>
      <c r="I4" s="8"/>
    </row>
    <row r="5">
      <c r="A5" s="9"/>
      <c r="B5">
        <v>98</v>
      </c>
      <c r="C5">
        <v>69</v>
      </c>
      <c r="D5">
        <v>51</v>
      </c>
      <c r="E5">
        <v>31</v>
      </c>
      <c r="F5">
        <v>21</v>
      </c>
      <c r="G5">
        <v>14</v>
      </c>
    </row>
    <row r="7">
      <c r="A7" s="10" t="s">
        <v>5</v>
      </c>
      <c r="B7" s="11">
        <f>AVERAGE(B3:B5)</f>
        <v>98</v>
      </c>
      <c r="C7" s="11">
        <f t="shared" ref="C7:G7" si="0">AVERAGE(C3:C5)</f>
        <v>68</v>
      </c>
      <c r="D7" s="11">
        <f t="shared" si="0"/>
        <v>49</v>
      </c>
      <c r="E7" s="11">
        <f t="shared" si="0"/>
        <v>29.666666666666668</v>
      </c>
      <c r="F7" s="11">
        <f t="shared" si="0"/>
        <v>19.333333333333332</v>
      </c>
      <c r="G7" s="11">
        <f t="shared" si="0"/>
        <v>14.333333333333334</v>
      </c>
    </row>
    <row r="8">
      <c r="A8" s="10" t="s">
        <v>6</v>
      </c>
      <c r="B8" s="12">
        <f t="shared" ref="B8:G8" si="1">RADIANS(B7)</f>
        <v>1.7104226669544429</v>
      </c>
      <c r="C8" s="12">
        <f t="shared" si="1"/>
        <v>1.1868238913561442</v>
      </c>
      <c r="D8" s="12">
        <f t="shared" si="1"/>
        <v>0.85521133347722145</v>
      </c>
      <c r="E8" s="12">
        <f t="shared" si="1"/>
        <v>0.51778101142498445</v>
      </c>
      <c r="F8" s="12">
        <f t="shared" si="1"/>
        <v>0.337430322052237</v>
      </c>
      <c r="G8" s="12">
        <f t="shared" si="1"/>
        <v>0.25016385945252056</v>
      </c>
    </row>
    <row r="9">
      <c r="A9" s="10" t="s">
        <v>7</v>
      </c>
      <c r="B9" s="11">
        <f>_xlfn.STDEV.S(B3:B5)</f>
        <v>1</v>
      </c>
      <c r="C9" s="11">
        <f t="shared" ref="C9:G9" si="2">_xlfn.STDEV.S(C3:C5)</f>
        <v>1.7320508075688772</v>
      </c>
      <c r="D9" s="11">
        <f t="shared" si="2"/>
        <v>2</v>
      </c>
      <c r="E9" s="11">
        <f t="shared" si="2"/>
        <v>1.5275252316519465</v>
      </c>
      <c r="F9" s="11">
        <f t="shared" si="2"/>
        <v>1.5275252316519465</v>
      </c>
      <c r="G9" s="11">
        <f t="shared" si="2"/>
        <v>0.57735026918962573</v>
      </c>
    </row>
    <row r="10">
      <c r="A10" s="10" t="s">
        <v>8</v>
      </c>
      <c r="B10" s="12">
        <f t="shared" ref="B10:G10" si="3">RADIANS(B9)</f>
        <v>1.7453292519943295e-002</v>
      </c>
      <c r="C10" s="12">
        <f t="shared" si="3"/>
        <v>3.0229989403903628e-002</v>
      </c>
      <c r="D10" s="12">
        <f t="shared" si="3"/>
        <v>3.4906585039886591e-002</v>
      </c>
      <c r="E10" s="12">
        <f t="shared" si="3"/>
        <v>2.6660344699615566e-002</v>
      </c>
      <c r="F10" s="12">
        <f t="shared" si="3"/>
        <v>2.6660344699615566e-002</v>
      </c>
      <c r="G10" s="12">
        <f t="shared" si="3"/>
        <v>1.0076663134634543e-002</v>
      </c>
      <c r="H10" s="13"/>
    </row>
    <row r="11">
      <c r="A11" s="10" t="s">
        <v>9</v>
      </c>
      <c r="B11" s="11">
        <f>B9/SQRT(3)</f>
        <v>0.57735026918962584</v>
      </c>
      <c r="C11" s="11">
        <f>C9/SQRT(3)</f>
        <v>1</v>
      </c>
      <c r="D11" s="11">
        <f>D9/SQRT(3)</f>
        <v>1.1547005383792517</v>
      </c>
      <c r="E11" s="11">
        <f>E9/SQRT(3)</f>
        <v>0.88191710368819687</v>
      </c>
      <c r="F11" s="11">
        <f>F9/SQRT(3)</f>
        <v>0.88191710368819687</v>
      </c>
      <c r="G11" s="11">
        <f>G9/SQRT(3)</f>
        <v>0.33333333333333331</v>
      </c>
    </row>
    <row r="12">
      <c r="A12" s="10" t="s">
        <v>10</v>
      </c>
      <c r="B12" s="12">
        <f t="shared" ref="B12:G12" si="4">RADIANS(B11)</f>
        <v>1.0076663134634544e-002</v>
      </c>
      <c r="C12" s="12">
        <f t="shared" si="4"/>
        <v>1.7453292519943295e-002</v>
      </c>
      <c r="D12" s="12">
        <f t="shared" si="4"/>
        <v>2.0153326269269089e-002</v>
      </c>
      <c r="E12" s="12">
        <f t="shared" si="4"/>
        <v>1.539235718901126e-002</v>
      </c>
      <c r="F12" s="12">
        <f t="shared" si="4"/>
        <v>1.539235718901126e-002</v>
      </c>
      <c r="G12" s="12">
        <f t="shared" si="4"/>
        <v>5.817764173314431e-003</v>
      </c>
    </row>
    <row r="13" ht="14.25">
      <c r="B13">
        <f>RADIANS(2)</f>
        <v>3.4906585039886591e-002</v>
      </c>
      <c r="C13">
        <f>RADIANS(2)</f>
        <v>3.4906585039886591e-002</v>
      </c>
      <c r="D13">
        <f>RADIANS(2)</f>
        <v>3.4906585039886591e-002</v>
      </c>
      <c r="E13">
        <f>RADIANS(2)</f>
        <v>3.4906585039886591e-002</v>
      </c>
      <c r="F13">
        <f>RADIANS(2)</f>
        <v>3.4906585039886591e-002</v>
      </c>
      <c r="G13">
        <f>RADIANS(2)</f>
        <v>3.4906585039886591e-002</v>
      </c>
    </row>
    <row r="14" ht="15.75"/>
    <row r="15">
      <c r="A15" s="10" t="s">
        <v>11</v>
      </c>
      <c r="B15" s="5">
        <f>B2+$H$2</f>
        <v>9.9000000000000005e-002</v>
      </c>
      <c r="C15">
        <f>C2+$H$2</f>
        <v>0.11899999999999999</v>
      </c>
      <c r="D15">
        <f>D2+$H$2</f>
        <v>0.13900000000000001</v>
      </c>
      <c r="E15">
        <f>E2+$H$2</f>
        <v>0.189</v>
      </c>
      <c r="F15">
        <f>F2+$H$2</f>
        <v>0.219</v>
      </c>
      <c r="G15">
        <f>G2+$H$2</f>
        <v>0.23900000000000002</v>
      </c>
    </row>
    <row r="16" ht="14.25">
      <c r="A16" s="10" t="s">
        <v>12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  <c r="G16">
        <v>1.e-003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4" t="s">
        <v>14</v>
      </c>
      <c r="C1" s="15" t="s">
        <v>3</v>
      </c>
      <c r="D1" s="3" t="s">
        <v>15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9" si="5">RADIANS(C2)</f>
        <v>1.2217304763960306</v>
      </c>
      <c r="E2" s="12">
        <f t="shared" ref="E2:E10" si="6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2">
        <f t="shared" si="5"/>
        <v>1.0821041362364843</v>
      </c>
      <c r="E3" s="12">
        <f t="shared" si="6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2">
        <f t="shared" si="5"/>
        <v>0.83775804095727824</v>
      </c>
      <c r="E4" s="12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2">
        <f t="shared" si="5"/>
        <v>0.71558499331767511</v>
      </c>
      <c r="E5" s="12">
        <f t="shared" si="6"/>
        <v>6.9813170079773182e-002</v>
      </c>
    </row>
    <row r="6">
      <c r="A6">
        <v>4000</v>
      </c>
      <c r="B6">
        <v>10</v>
      </c>
      <c r="C6">
        <v>35</v>
      </c>
      <c r="D6" s="12">
        <f t="shared" si="5"/>
        <v>0.6108652381980153</v>
      </c>
      <c r="E6" s="12">
        <f t="shared" si="6"/>
        <v>6.9813170079773182e-002</v>
      </c>
    </row>
    <row r="7">
      <c r="A7">
        <v>3500</v>
      </c>
      <c r="B7">
        <v>10</v>
      </c>
      <c r="C7">
        <v>23</v>
      </c>
      <c r="D7" s="12">
        <f t="shared" si="5"/>
        <v>0.4014257279586958</v>
      </c>
      <c r="E7" s="12">
        <f t="shared" si="6"/>
        <v>6.9813170079773182e-002</v>
      </c>
    </row>
    <row r="8">
      <c r="A8">
        <v>3000</v>
      </c>
      <c r="B8">
        <v>10</v>
      </c>
      <c r="C8">
        <v>20</v>
      </c>
      <c r="D8" s="12">
        <f t="shared" si="5"/>
        <v>0.3490658503988659</v>
      </c>
      <c r="E8" s="12">
        <f t="shared" si="6"/>
        <v>6.9813170079773182e-002</v>
      </c>
    </row>
    <row r="9">
      <c r="A9">
        <v>2500</v>
      </c>
      <c r="B9">
        <v>10</v>
      </c>
      <c r="C9">
        <v>14</v>
      </c>
      <c r="D9" s="12">
        <f t="shared" si="5"/>
        <v>0.24434609527920614</v>
      </c>
      <c r="E9" s="12">
        <f t="shared" si="6"/>
        <v>6.9813170079773182e-002</v>
      </c>
    </row>
    <row r="10">
      <c r="A10">
        <v>2000</v>
      </c>
      <c r="B10">
        <v>10</v>
      </c>
      <c r="C10">
        <v>10</v>
      </c>
      <c r="D10" s="12">
        <f>RADIANS(C10)</f>
        <v>0.17453292519943295</v>
      </c>
      <c r="E10" s="12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4" t="s">
        <v>19</v>
      </c>
      <c r="C1" s="15" t="s">
        <v>20</v>
      </c>
      <c r="D1" s="3" t="s">
        <v>21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10" si="7">RADIANS(C2)</f>
        <v>1.2217304763960306</v>
      </c>
      <c r="E2" s="12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2">
        <f t="shared" si="7"/>
        <v>1.1344640137963142</v>
      </c>
      <c r="E3" s="12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2">
        <f t="shared" si="7"/>
        <v>1.064650843716541</v>
      </c>
      <c r="E4" s="12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2">
        <f t="shared" si="7"/>
        <v>1.0297442586766545</v>
      </c>
      <c r="E5" s="12">
        <f t="shared" si="8"/>
        <v>6.9813170079773182e-002</v>
      </c>
      <c r="F5" s="16" t="s">
        <v>22</v>
      </c>
    </row>
    <row r="6">
      <c r="A6">
        <v>4000</v>
      </c>
      <c r="B6">
        <v>10</v>
      </c>
      <c r="C6">
        <v>52</v>
      </c>
      <c r="D6" s="12">
        <f t="shared" si="7"/>
        <v>0.90757121103705141</v>
      </c>
      <c r="E6" s="12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2">
        <f t="shared" si="7"/>
        <v>0.75049157835756175</v>
      </c>
      <c r="E7" s="12">
        <f t="shared" si="8"/>
        <v>6.9813170079773182e-002</v>
      </c>
    </row>
    <row r="8">
      <c r="A8">
        <v>3000</v>
      </c>
      <c r="B8">
        <v>10</v>
      </c>
      <c r="C8">
        <v>39</v>
      </c>
      <c r="D8" s="12">
        <f t="shared" si="7"/>
        <v>0.68067840827778847</v>
      </c>
      <c r="E8" s="12">
        <f t="shared" si="8"/>
        <v>6.9813170079773182e-002</v>
      </c>
    </row>
    <row r="9">
      <c r="A9">
        <v>2500</v>
      </c>
      <c r="B9">
        <v>10</v>
      </c>
      <c r="C9">
        <v>35</v>
      </c>
      <c r="D9" s="12">
        <f t="shared" si="7"/>
        <v>0.6108652381980153</v>
      </c>
      <c r="E9" s="12">
        <f t="shared" si="8"/>
        <v>6.9813170079773182e-002</v>
      </c>
    </row>
    <row r="10">
      <c r="A10">
        <v>2000</v>
      </c>
      <c r="B10">
        <v>10</v>
      </c>
      <c r="C10">
        <v>28</v>
      </c>
      <c r="D10" s="12">
        <f t="shared" si="7"/>
        <v>0.48869219055841229</v>
      </c>
      <c r="E10" s="12">
        <f t="shared" si="8"/>
        <v>6.9813170079773182e-002</v>
      </c>
    </row>
    <row r="13">
      <c r="H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5" t="s">
        <v>20</v>
      </c>
      <c r="C1" s="3" t="s">
        <v>21</v>
      </c>
      <c r="D1" s="14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2">
        <f t="shared" ref="C2:C6" si="9">RADIANS(B2)</f>
        <v>2.3736477827122884</v>
      </c>
      <c r="D2" s="12">
        <f t="shared" ref="D2:D6" si="10">RADIANS(4)</f>
        <v>6.9813170079773182e-002</v>
      </c>
    </row>
    <row r="3">
      <c r="A3">
        <v>4.0000000000000003e-005</v>
      </c>
      <c r="B3">
        <v>282</v>
      </c>
      <c r="C3" s="12">
        <f t="shared" si="9"/>
        <v>4.9218284906240095</v>
      </c>
      <c r="D3" s="12">
        <f t="shared" si="10"/>
        <v>6.9813170079773182e-002</v>
      </c>
    </row>
    <row r="4">
      <c r="A4">
        <v>5.0000000000000002e-005</v>
      </c>
      <c r="B4">
        <v>355</v>
      </c>
      <c r="C4" s="12">
        <f t="shared" si="9"/>
        <v>6.1959188445798699</v>
      </c>
      <c r="D4" s="12">
        <f t="shared" si="10"/>
        <v>6.9813170079773182e-002</v>
      </c>
    </row>
    <row r="5">
      <c r="A5">
        <v>6.9999999999999994e-005</v>
      </c>
      <c r="B5">
        <v>500</v>
      </c>
      <c r="C5" s="12">
        <f t="shared" si="9"/>
        <v>8.7266462599716483</v>
      </c>
      <c r="D5" s="12">
        <f t="shared" si="10"/>
        <v>6.9813170079773182e-002</v>
      </c>
    </row>
    <row r="6">
      <c r="A6">
        <v>9.0000000000000006e-005</v>
      </c>
      <c r="B6" s="17">
        <v>645</v>
      </c>
      <c r="C6" s="12">
        <f t="shared" si="9"/>
        <v>11.257373675363425</v>
      </c>
      <c r="D6" s="12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4</cp:revision>
  <dcterms:created xsi:type="dcterms:W3CDTF">2026-04-28T05:59:56Z</dcterms:created>
  <dcterms:modified xsi:type="dcterms:W3CDTF">2026-05-26T17:18:06Z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