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ngolo" sheetId="1" state="visible" r:id="rId1"/>
    <sheet name="Potenziale uguale" sheetId="2" state="visible" r:id="rId2"/>
    <sheet name="Potenziale diverso" sheetId="3" state="visible" r:id="rId3"/>
    <sheet name="Costante di torsione" sheetId="4" state="visible" r:id="rId4"/>
  </sheets>
  <calcPr/>
</workbook>
</file>

<file path=xl/sharedStrings.xml><?xml version="1.0" encoding="utf-8"?>
<sst xmlns="http://schemas.openxmlformats.org/spreadsheetml/2006/main" count="22" uniqueCount="22">
  <si>
    <t xml:space="preserve">r (m)</t>
  </si>
  <si>
    <t xml:space="preserve">d (m)</t>
  </si>
  <si>
    <t xml:space="preserve">a (m)</t>
  </si>
  <si>
    <t xml:space="preserve">θ (°)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</si>
  <si>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</si>
  <si>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</si>
  <si>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</si>
  <si>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</si>
  <si>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</si>
  <si>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</si>
  <si>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</si>
  <si>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t xml:space="preserve">Potenziale (kV)</t>
  </si>
  <si>
    <t xml:space="preserve">θ (rad)</t>
  </si>
  <si>
    <t xml:space="preserve">θ corretto</t>
  </si>
  <si>
    <t xml:space="preserve">d=7 cm</t>
  </si>
  <si>
    <t>σθ</t>
  </si>
  <si>
    <t xml:space="preserve">                                                                                                       </t>
  </si>
  <si>
    <t>B</t>
  </si>
  <si>
    <t xml:space="preserve">Potenziale (V)</t>
  </si>
  <si>
    <t xml:space="preserve">Potenziale fisso</t>
  </si>
  <si>
    <t xml:space="preserve">Massa (kg)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</si>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</sst>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color/>
      <name val="Aptos Narrow"/>
    </font>
  </fonts>
  <fills count="6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 tint="0"/>
        <bgColor theme="4" tint="0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</borders>
  <cellStyleXfs count="1">
    <xf fontId="0" fillId="0" borderId="0" numFmtId="0" applyNumberFormat="1" applyFont="1" applyFill="1" applyBorder="1"/>
  </cellStyleXfs>
  <cellXfs count="14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 applyAlignment="1">
      <alignment horizontal="center"/>
    </xf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1" fillId="0" borderId="0" numFmtId="0" xfId="0" applyFont="1"/>
    <xf fontId="0" fillId="3" borderId="0" numFmtId="0" xfId="0" applyFill="1" applyAlignment="1">
      <alignment vertical="center"/>
    </xf>
    <xf fontId="2" fillId="5" borderId="0" numFmtId="0" xfId="0" applyFont="1" applyFill="1"/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customXml" Target="../customXml/item1.xml"/><Relationship  Id="rId6" Type="http://schemas.openxmlformats.org/officeDocument/2006/relationships/customXml" Target="../customXml/item2.xml"/><Relationship  Id="rId7" Type="http://schemas.openxmlformats.org/officeDocument/2006/relationships/customXml" Target="../customXml/item3.xml"/><Relationship  Id="rId8" Type="http://schemas.openxmlformats.org/officeDocument/2006/relationships/customXml" Target="../customXml/item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23" activeCellId="0" sqref="F23"/>
    </sheetView>
  </sheetViews>
  <sheetFormatPr defaultRowHeight="14.25"/>
  <cols>
    <col bestFit="1" customWidth="1" min="1" max="1" width="12.703125"/>
    <col bestFit="1" customWidth="1" min="2" max="2" width="11.125"/>
    <col bestFit="1" min="3" max="3" width="11.125"/>
    <col bestFit="1" customWidth="1" min="4" max="4" width="11.125"/>
    <col bestFit="1" min="5" max="5" width="11.125"/>
    <col bestFit="1" customWidth="1" min="6" max="6" width="11.125"/>
    <col bestFit="1" min="7" max="7" width="11.125"/>
    <col bestFit="1" customWidth="1" min="8" max="8" width="7.125"/>
    <col bestFit="1" customWidth="1" min="9" max="9" width="8.125"/>
    <col customWidth="1" min="10" max="10" width="12.64453125"/>
  </cols>
  <sheetData>
    <row r="1">
      <c r="B1" s="1" t="s">
        <v>0</v>
      </c>
      <c r="C1" s="2"/>
      <c r="D1" s="2"/>
      <c r="E1" s="2"/>
      <c r="F1" s="2"/>
      <c r="G1" s="2"/>
      <c r="H1" s="3" t="s">
        <v>1</v>
      </c>
      <c r="I1" s="3" t="s">
        <v>2</v>
      </c>
    </row>
    <row r="2">
      <c r="B2" s="4">
        <v>5.9999999999999998e-002</v>
      </c>
      <c r="C2" s="4">
        <v>8.0000000000000002e-002</v>
      </c>
      <c r="D2" s="5">
        <v>0.10000000000000001</v>
      </c>
      <c r="E2" s="4">
        <v>0.14999999999999999</v>
      </c>
      <c r="F2" s="4">
        <v>0.17999999999999999</v>
      </c>
      <c r="G2" s="4">
        <v>0.20000000000000001</v>
      </c>
      <c r="H2">
        <v>3.9050000000000001e-002</v>
      </c>
      <c r="I2">
        <f>H2/2</f>
        <v>1.9525000000000001e-002</v>
      </c>
    </row>
    <row r="3">
      <c r="A3" s="6" t="s">
        <v>3</v>
      </c>
      <c r="B3">
        <v>96</v>
      </c>
      <c r="C3">
        <v>68</v>
      </c>
      <c r="D3">
        <v>48</v>
      </c>
      <c r="E3">
        <v>28</v>
      </c>
      <c r="F3">
        <v>18</v>
      </c>
      <c r="G3">
        <v>14</v>
      </c>
    </row>
    <row r="4">
      <c r="A4" s="7"/>
      <c r="B4">
        <v>99</v>
      </c>
      <c r="C4">
        <v>65</v>
      </c>
      <c r="D4">
        <v>48</v>
      </c>
      <c r="E4">
        <v>29</v>
      </c>
      <c r="F4">
        <v>19</v>
      </c>
      <c r="G4">
        <v>15</v>
      </c>
    </row>
    <row r="5">
      <c r="A5" s="8"/>
      <c r="B5">
        <v>98</v>
      </c>
      <c r="C5">
        <v>68</v>
      </c>
      <c r="D5">
        <v>49</v>
      </c>
      <c r="E5">
        <v>28</v>
      </c>
      <c r="F5">
        <v>19</v>
      </c>
      <c r="G5">
        <v>14</v>
      </c>
    </row>
    <row r="6">
      <c r="A6" s="9" t="s">
        <v>4</v>
      </c>
      <c r="B6">
        <f>B2+$H$2</f>
        <v>9.9049999999999999e-002</v>
      </c>
      <c r="C6">
        <f>C2+$H$2</f>
        <v>0.11905</v>
      </c>
      <c r="D6">
        <f>D2+$H$2</f>
        <v>0.13905000000000001</v>
      </c>
      <c r="E6">
        <f>E2+$H$2</f>
        <v>0.18905</v>
      </c>
      <c r="F6">
        <f>F2+$H$2</f>
        <v>0.21904999999999999</v>
      </c>
      <c r="G6">
        <f>G2+$H$2</f>
        <v>0.23905000000000001</v>
      </c>
    </row>
    <row r="8">
      <c r="A8" s="9" t="s">
        <v>5</v>
      </c>
      <c r="B8">
        <f>AVERAGE(B3:B5)</f>
        <v>97.666666666666671</v>
      </c>
      <c r="C8">
        <f>AVERAGE(C3:C5)</f>
        <v>67</v>
      </c>
      <c r="D8">
        <f>AVERAGE(D3:D5)</f>
        <v>48.333333333333336</v>
      </c>
      <c r="E8">
        <f>AVERAGE(E3:E5)</f>
        <v>28.333333333333332</v>
      </c>
      <c r="F8">
        <f>AVERAGE(F3:F5)</f>
        <v>18.666666666666668</v>
      </c>
      <c r="G8">
        <f>AVERAGE(G3:G5)</f>
        <v>14.333333333333334</v>
      </c>
    </row>
    <row r="9">
      <c r="A9" s="9" t="s">
        <v>6</v>
      </c>
      <c r="B9">
        <f>RADIANS(B8)</f>
        <v>1.7046049027811285</v>
      </c>
      <c r="C9">
        <f>RADIANS(C8)</f>
        <v>1.1693705988362006</v>
      </c>
      <c r="D9">
        <f>RADIANS(D8)</f>
        <v>0.8435758051305926</v>
      </c>
      <c r="E9">
        <f>RADIANS(E8)</f>
        <v>0.49450995473172665</v>
      </c>
      <c r="F9">
        <f>RADIANS(F8)</f>
        <v>0.32579479370560821</v>
      </c>
      <c r="G9">
        <f>RADIANS(G8)</f>
        <v>0.25016385945252056</v>
      </c>
    </row>
    <row r="10">
      <c r="A10" s="9" t="s">
        <v>7</v>
      </c>
      <c r="B10">
        <f>_xlfn.STDEV.S(B3:B5)</f>
        <v>1.5275252316519468</v>
      </c>
      <c r="C10">
        <f>_xlfn.STDEV.S(C3:C5)</f>
        <v>1.7320508075688772</v>
      </c>
      <c r="D10">
        <f>_xlfn.STDEV.S(D3:D5)</f>
        <v>0.57735026918962584</v>
      </c>
      <c r="E10">
        <f>_xlfn.STDEV.S(E3:E5)</f>
        <v>0.57735026918962584</v>
      </c>
      <c r="F10">
        <f>_xlfn.STDEV.S(F3:F5)</f>
        <v>0.57735026918962584</v>
      </c>
      <c r="G10">
        <f>_xlfn.STDEV.S(G3:G5)</f>
        <v>0.57735026918962573</v>
      </c>
      <c r="H10" s="10"/>
    </row>
    <row r="11">
      <c r="A11" s="9" t="s">
        <v>8</v>
      </c>
      <c r="B11">
        <f>RADIANS(B10)</f>
        <v>2.6660344699615573e-002</v>
      </c>
      <c r="C11">
        <f>RADIANS(C10)</f>
        <v>3.0229989403903628e-002</v>
      </c>
      <c r="D11">
        <f>RADIANS(D10)</f>
        <v>1.0076663134634544e-002</v>
      </c>
      <c r="E11">
        <f>RADIANS(E10)</f>
        <v>1.0076663134634544e-002</v>
      </c>
      <c r="F11">
        <f>RADIANS(F10)</f>
        <v>1.0076663134634544e-002</v>
      </c>
      <c r="G11">
        <f>RADIANS(G10)</f>
        <v>1.0076663134634543e-002</v>
      </c>
    </row>
    <row r="12">
      <c r="A12" s="9" t="s">
        <v>9</v>
      </c>
      <c r="B12">
        <v>4</v>
      </c>
      <c r="C12">
        <v>4</v>
      </c>
      <c r="D12">
        <v>3.5</v>
      </c>
      <c r="E12">
        <v>3</v>
      </c>
      <c r="F12">
        <v>3</v>
      </c>
      <c r="G12">
        <v>3</v>
      </c>
    </row>
    <row r="13">
      <c r="A13" s="9" t="s">
        <v>10</v>
      </c>
      <c r="B13">
        <f>RADIANS(B12)</f>
        <v>6.9813170079773182e-002</v>
      </c>
      <c r="C13">
        <f>RADIANS(C12)</f>
        <v>6.9813170079773182e-002</v>
      </c>
      <c r="D13">
        <f>RADIANS(D12)</f>
        <v>6.1086523819801536e-002</v>
      </c>
      <c r="E13">
        <f>RADIANS(E12)</f>
        <v>5.2359877559829883e-002</v>
      </c>
      <c r="F13">
        <f>RADIANS(F12)</f>
        <v>5.2359877559829883e-002</v>
      </c>
      <c r="G13">
        <f>RADIANS(G12)</f>
        <v>5.2359877559829883e-002</v>
      </c>
    </row>
  </sheetData>
  <mergeCells count="2">
    <mergeCell ref="B1:G1"/>
    <mergeCell ref="A3:A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13" activeCellId="0" sqref="B13"/>
    </sheetView>
  </sheetViews>
  <sheetFormatPr defaultRowHeight="15"/>
  <cols>
    <col customWidth="1" min="1" max="1" width="14.2578125"/>
    <col customWidth="1" min="12" max="12" width="13.85546875"/>
  </cols>
  <sheetData>
    <row r="1">
      <c r="A1" s="4" t="s">
        <v>11</v>
      </c>
      <c r="B1" s="11" t="s">
        <v>3</v>
      </c>
      <c r="C1" s="4" t="s">
        <v>12</v>
      </c>
      <c r="D1" t="s">
        <v>13</v>
      </c>
      <c r="F1" t="s">
        <v>14</v>
      </c>
      <c r="G1" t="s">
        <v>15</v>
      </c>
    </row>
    <row r="2">
      <c r="A2">
        <v>6000</v>
      </c>
      <c r="B2">
        <v>70</v>
      </c>
      <c r="C2">
        <f t="shared" ref="C2:C10" si="0">RADIANS(B2)</f>
        <v>1.2217304763960306</v>
      </c>
      <c r="D2">
        <f t="shared" ref="D2:D9" si="1">C2/$B$13</f>
        <v>1.4966195752416172</v>
      </c>
      <c r="N2" t="s">
        <v>16</v>
      </c>
    </row>
    <row r="3">
      <c r="A3">
        <v>5500</v>
      </c>
      <c r="B3">
        <v>62</v>
      </c>
      <c r="C3">
        <f t="shared" si="0"/>
        <v>1.0821041362364843</v>
      </c>
      <c r="D3">
        <f t="shared" si="1"/>
        <v>1.3255773380711466</v>
      </c>
    </row>
    <row r="4">
      <c r="A4">
        <v>5000</v>
      </c>
      <c r="B4">
        <v>48</v>
      </c>
      <c r="C4">
        <f t="shared" si="0"/>
        <v>0.83775804095727824</v>
      </c>
      <c r="D4">
        <f t="shared" si="1"/>
        <v>1.0262534230228233</v>
      </c>
    </row>
    <row r="5">
      <c r="A5">
        <v>4500</v>
      </c>
      <c r="B5">
        <v>41</v>
      </c>
      <c r="C5">
        <f t="shared" si="0"/>
        <v>0.71558499331767511</v>
      </c>
      <c r="D5">
        <f t="shared" si="1"/>
        <v>0.87659146549866152</v>
      </c>
    </row>
    <row r="6">
      <c r="A6">
        <v>4000</v>
      </c>
      <c r="B6">
        <v>35</v>
      </c>
      <c r="C6">
        <f t="shared" si="0"/>
        <v>0.6108652381980153</v>
      </c>
      <c r="D6">
        <f t="shared" si="1"/>
        <v>0.74830978762080858</v>
      </c>
    </row>
    <row r="7">
      <c r="A7">
        <v>3500</v>
      </c>
      <c r="B7">
        <v>23</v>
      </c>
      <c r="C7">
        <f t="shared" si="0"/>
        <v>0.4014257279586958</v>
      </c>
      <c r="D7">
        <f t="shared" si="1"/>
        <v>0.49174643186510281</v>
      </c>
    </row>
    <row r="8">
      <c r="A8">
        <v>3000</v>
      </c>
      <c r="B8">
        <v>20</v>
      </c>
      <c r="C8">
        <f t="shared" si="0"/>
        <v>0.3490658503988659</v>
      </c>
      <c r="D8">
        <f t="shared" si="1"/>
        <v>0.42760559292617634</v>
      </c>
    </row>
    <row r="9">
      <c r="A9">
        <v>2500</v>
      </c>
      <c r="B9">
        <v>14</v>
      </c>
      <c r="C9">
        <f t="shared" si="0"/>
        <v>0.24434609527920614</v>
      </c>
      <c r="D9">
        <f t="shared" si="1"/>
        <v>0.29932391504832345</v>
      </c>
    </row>
    <row r="10">
      <c r="A10">
        <v>2000</v>
      </c>
      <c r="B10">
        <v>10</v>
      </c>
      <c r="C10">
        <f t="shared" si="0"/>
        <v>0.17453292519943295</v>
      </c>
      <c r="D10">
        <f>C10/$B$13</f>
        <v>0.21380279646308817</v>
      </c>
    </row>
    <row r="13">
      <c r="A13" t="s">
        <v>17</v>
      </c>
      <c r="B13">
        <f>1-(4*(0.03905)^3)/(0.07+0.03905)^3</f>
        <v>0.81632667152492111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16" activeCellId="0" sqref="E16"/>
    </sheetView>
  </sheetViews>
  <sheetFormatPr defaultRowHeight="15"/>
  <cols>
    <col customWidth="1" min="1" max="1" width="17.484375"/>
    <col bestFit="1" customWidth="1" min="2" max="2" width="11.97265625"/>
    <col customWidth="1" min="4" max="4" width="14.390625"/>
    <col customWidth="1" min="8" max="8" width="14.125"/>
  </cols>
  <sheetData>
    <row r="1">
      <c r="A1" s="4" t="s">
        <v>18</v>
      </c>
      <c r="B1" s="11" t="s">
        <v>3</v>
      </c>
      <c r="C1" s="4" t="s">
        <v>12</v>
      </c>
      <c r="D1" t="s">
        <v>13</v>
      </c>
      <c r="E1" s="12" t="s">
        <v>19</v>
      </c>
      <c r="F1" t="s">
        <v>14</v>
      </c>
    </row>
    <row r="2">
      <c r="A2">
        <v>6000</v>
      </c>
      <c r="B2">
        <v>70</v>
      </c>
      <c r="C2">
        <f t="shared" ref="C2:C10" si="2">RADIANS(B2)</f>
        <v>1.2217304763960306</v>
      </c>
      <c r="D2">
        <f t="shared" ref="D2:D9" si="3">C2/$B$12</f>
        <v>1.4966195743706272</v>
      </c>
      <c r="E2">
        <v>6000</v>
      </c>
    </row>
    <row r="3">
      <c r="A3">
        <v>5500</v>
      </c>
      <c r="B3">
        <v>65</v>
      </c>
      <c r="C3">
        <f t="shared" si="2"/>
        <v>1.1344640137963142</v>
      </c>
      <c r="D3">
        <f t="shared" si="3"/>
        <v>1.3897181762012969</v>
      </c>
    </row>
    <row r="4">
      <c r="A4">
        <v>5000</v>
      </c>
      <c r="B4">
        <v>61</v>
      </c>
      <c r="C4">
        <f t="shared" si="2"/>
        <v>1.064650843716541</v>
      </c>
      <c r="D4">
        <f t="shared" si="3"/>
        <v>1.3041970576658324</v>
      </c>
    </row>
    <row r="5">
      <c r="A5">
        <v>4500</v>
      </c>
      <c r="B5">
        <v>59</v>
      </c>
      <c r="C5">
        <f t="shared" si="2"/>
        <v>1.0297442586766545</v>
      </c>
      <c r="D5">
        <f t="shared" si="3"/>
        <v>1.2614364983981003</v>
      </c>
    </row>
    <row r="6">
      <c r="A6">
        <v>4000</v>
      </c>
      <c r="B6">
        <v>52</v>
      </c>
      <c r="C6">
        <f t="shared" si="2"/>
        <v>0.90757121103705141</v>
      </c>
      <c r="D6">
        <f t="shared" si="3"/>
        <v>1.1117745409610376</v>
      </c>
    </row>
    <row r="7">
      <c r="A7">
        <v>3500</v>
      </c>
      <c r="B7">
        <v>43</v>
      </c>
      <c r="C7">
        <f t="shared" si="2"/>
        <v>0.75049157835756175</v>
      </c>
      <c r="D7">
        <f t="shared" si="3"/>
        <v>0.91935202425624252</v>
      </c>
    </row>
    <row r="8">
      <c r="A8">
        <v>3000</v>
      </c>
      <c r="B8">
        <v>39</v>
      </c>
      <c r="C8">
        <f t="shared" si="2"/>
        <v>0.68067840827778847</v>
      </c>
      <c r="D8">
        <f t="shared" si="3"/>
        <v>0.833830905720778</v>
      </c>
    </row>
    <row r="9">
      <c r="A9">
        <v>2500</v>
      </c>
      <c r="B9">
        <v>35</v>
      </c>
      <c r="C9">
        <f t="shared" si="2"/>
        <v>0.6108652381980153</v>
      </c>
      <c r="D9">
        <f t="shared" si="3"/>
        <v>0.7483097871853136</v>
      </c>
    </row>
    <row r="10">
      <c r="A10">
        <v>2000</v>
      </c>
      <c r="B10">
        <v>28</v>
      </c>
      <c r="C10">
        <f t="shared" si="2"/>
        <v>0.48869219055841229</v>
      </c>
      <c r="D10">
        <f>C10/$B$12</f>
        <v>0.59864782974825093</v>
      </c>
    </row>
    <row r="12">
      <c r="A12" t="s">
        <v>17</v>
      </c>
      <c r="B12">
        <v>0.81632667199999998</v>
      </c>
    </row>
    <row r="13">
      <c r="H13" s="10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9" activeCellId="0" sqref="E9"/>
    </sheetView>
  </sheetViews>
  <sheetFormatPr defaultRowHeight="15"/>
  <cols>
    <col customWidth="1" min="1" max="1" width="12.375"/>
    <col customWidth="1" min="3" max="3" width="13.5859375"/>
    <col customWidth="1" min="4" max="4" width="12.23828125"/>
  </cols>
  <sheetData>
    <row r="1">
      <c r="A1" s="4" t="s">
        <v>20</v>
      </c>
      <c r="B1" s="11" t="s">
        <v>3</v>
      </c>
      <c r="C1" s="4" t="s">
        <v>12</v>
      </c>
      <c r="D1" s="4" t="s">
        <v>21</v>
      </c>
    </row>
    <row r="2">
      <c r="A2">
        <f>2*10^(-5)</f>
        <v>2.0000000000000002e-005</v>
      </c>
      <c r="B2">
        <v>136</v>
      </c>
      <c r="C2">
        <f t="shared" ref="C2:C6" si="4">RADIANS(B2)</f>
        <v>2.3736477827122884</v>
      </c>
    </row>
    <row r="3">
      <c r="A3">
        <v>4.0000000000000003e-005</v>
      </c>
      <c r="B3">
        <v>282</v>
      </c>
      <c r="C3">
        <f t="shared" si="4"/>
        <v>4.9218284906240095</v>
      </c>
    </row>
    <row r="4">
      <c r="A4">
        <v>5.0000000000000002e-005</v>
      </c>
      <c r="B4">
        <v>355</v>
      </c>
      <c r="C4">
        <f t="shared" si="4"/>
        <v>6.1959188445798699</v>
      </c>
    </row>
    <row r="5">
      <c r="A5">
        <v>6.9999999999999994e-005</v>
      </c>
      <c r="B5">
        <v>500</v>
      </c>
      <c r="C5">
        <f t="shared" si="4"/>
        <v>8.7266462599716483</v>
      </c>
    </row>
    <row r="6">
      <c r="A6">
        <v>9.0000000000000006e-005</v>
      </c>
      <c r="B6" s="13">
        <v>645</v>
      </c>
      <c r="C6">
        <f t="shared" si="4"/>
        <v>11.257373675363425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4.xml>
</file>

<file path=customXml/itemProps1.xml><?xml version="1.0" encoding="utf-8"?>
<ds:datastoreItem xmlns:ds="http://schemas.openxmlformats.org/officeDocument/2006/customXml" ds:itemID="F11B7099-440B-490B-A861-BFA2A7C8EBF7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36220265-74EC-4347-B552-ED1EB602B3E7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784B2A05-BFD3-4270-A078-C7A8A4FE6EB9">
  <ds:schemaRefs>
    <ds:schemaRef ds:uri="http://schemas.microsoft.com/office/2006/metadata/properties"/>
    <ds:schemaRef ds:uri="http://www.w3.org/2000/xmlns/"/>
    <ds:schemaRef ds:uri="d72476d7-13f4-49c1-b8ad-54b424d3f220"/>
    <ds:schemaRef ds:uri="http://www.w3.org/2001/XMLSchema-instance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FB6CAFCD-1DEC-49C0-A40A-CD1CA0867B3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1</cp:revision>
  <dcterms:created xsi:type="dcterms:W3CDTF">2026-04-28T05:59:56Z</dcterms:created>
  <dcterms:modified xsi:type="dcterms:W3CDTF">2026-05-07T15:43:38Z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