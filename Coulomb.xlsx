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11" documentId="8_{8D9233A0-64A1-41E5-BFAF-E6A5D8A8E479}" xr6:coauthVersionLast="47" xr6:coauthVersionMax="47" xr10:uidLastSave="{2FB37041-8D3A-475A-B936-30963F6D4C8D}"/>
  <bookViews>
    <workbookView xWindow="-98" yWindow="-98" windowWidth="21795" windowHeight="12975" activeTab="1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  <sheet name="Foglio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9" i="1" s="1"/>
  <c r="C13" i="1"/>
  <c r="D13" i="1"/>
  <c r="E13" i="1"/>
  <c r="F13" i="1"/>
  <c r="G13" i="1"/>
  <c r="B13" i="1"/>
  <c r="C11" i="1"/>
  <c r="D11" i="1"/>
  <c r="E11" i="1"/>
  <c r="F11" i="1"/>
  <c r="G11" i="1"/>
  <c r="B11" i="1"/>
  <c r="C9" i="1"/>
  <c r="D9" i="1"/>
  <c r="E9" i="1"/>
  <c r="F9" i="1"/>
  <c r="G9" i="1"/>
  <c r="C8" i="1"/>
  <c r="D8" i="1"/>
  <c r="E8" i="1"/>
  <c r="F8" i="1"/>
  <c r="G8" i="1"/>
  <c r="B10" i="1"/>
  <c r="C10" i="1"/>
  <c r="D10" i="1"/>
  <c r="E10" i="1"/>
  <c r="F10" i="1"/>
  <c r="G10" i="1"/>
  <c r="I2" i="1"/>
  <c r="C10" i="2"/>
  <c r="C9" i="2"/>
  <c r="C8" i="2"/>
  <c r="C7" i="2"/>
  <c r="C6" i="2"/>
  <c r="C5" i="2"/>
  <c r="C4" i="2"/>
  <c r="C3" i="2"/>
  <c r="C2" i="2"/>
  <c r="C3" i="3"/>
  <c r="C4" i="3"/>
  <c r="C5" i="3"/>
  <c r="C6" i="3"/>
  <c r="C7" i="3"/>
  <c r="C8" i="3"/>
  <c r="C9" i="3"/>
  <c r="C10" i="3"/>
  <c r="C2" i="3"/>
</calcChain>
</file>

<file path=xl/sharedStrings.xml><?xml version="1.0" encoding="utf-8"?>
<sst xmlns="http://schemas.openxmlformats.org/spreadsheetml/2006/main" count="30" uniqueCount="25">
  <si>
    <t>θ</t>
  </si>
  <si>
    <t>r</t>
  </si>
  <si>
    <t>Potenziale fisso</t>
  </si>
  <si>
    <t>Massa (mg)</t>
  </si>
  <si>
    <t xml:space="preserve">                                                                                                       </t>
  </si>
  <si>
    <t>Potenziale (kV)</t>
  </si>
  <si>
    <t>d=7 cm</t>
  </si>
  <si>
    <t>b=118,15 mm</t>
  </si>
  <si>
    <t>ε</t>
  </si>
  <si>
    <t>V_1</t>
  </si>
  <si>
    <t>V_2</t>
  </si>
  <si>
    <t>a</t>
  </si>
  <si>
    <t>Potenziale (V)</t>
  </si>
  <si>
    <t>θ (°)</t>
  </si>
  <si>
    <t>θ (rad)</t>
  </si>
  <si>
    <t>r (m)</t>
  </si>
  <si>
    <t>diametro (m)</t>
  </si>
  <si>
    <t>d_0 (m)</t>
  </si>
  <si>
    <t>Media (rad)</t>
  </si>
  <si>
    <t>Media (°)</t>
  </si>
  <si>
    <t>Dev.std (°)</t>
  </si>
  <si>
    <t>Dev.std (rad)</t>
  </si>
  <si>
    <t>Err.Media (°)</t>
  </si>
  <si>
    <t>Err.Media (rad)</t>
  </si>
  <si>
    <t>σθ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</si>
</sst>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1" fillId="0" borderId="0" xfId="0" applyFont="1"/>
    <xf numFmtId="0" fontId="0" fillId="3" borderId="0" xfId="0" applyFill="1" applyAlignment="1">
      <alignment vertical="center"/>
    </xf>
    <xf numFmtId="0" fontId="3" fillId="0" borderId="0" xfId="0" applyFont="1"/>
    <xf numFmtId="0" fontId="0" fillId="2" borderId="0" xfId="0" applyFill="1" applyAlignment="1">
      <alignment horizontal="center"/>
    </xf>
    <xf numFmtId="0" fontId="2" fillId="2" borderId="0" xfId="0" applyFont="1" applyFill="1"/>
    <xf numFmtId="2" fontId="0" fillId="3" borderId="0" xfId="0" applyNumberFormat="1" applyFill="1"/>
    <xf numFmtId="0" fontId="0" fillId="4" borderId="0" xfId="0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6"/>
  <sheetViews>
    <sheetView workbookViewId="0">
      <selection activeCell="J15" sqref="J15"/>
    </sheetView>
  </sheetViews>
  <sheetFormatPr defaultRowHeight="14.25" x14ac:dyDescent="0.45"/>
  <cols>
    <col min="1" max="1" width="12.265625" customWidth="1"/>
    <col min="4" max="4" width="10.265625" bestFit="1" customWidth="1"/>
    <col min="8" max="8" width="10.53125" customWidth="1"/>
    <col min="9" max="10" width="12.73046875" customWidth="1"/>
  </cols>
  <sheetData>
    <row r="1" spans="1:9" x14ac:dyDescent="0.45">
      <c r="B1" s="7" t="s">
        <v>15</v>
      </c>
      <c r="C1" s="7"/>
      <c r="D1" s="7"/>
      <c r="E1" s="7"/>
      <c r="F1" s="7"/>
      <c r="G1" s="7"/>
      <c r="H1" s="1" t="s">
        <v>17</v>
      </c>
      <c r="I1" s="1" t="s">
        <v>16</v>
      </c>
    </row>
    <row r="2" spans="1:9" x14ac:dyDescent="0.45">
      <c r="B2" s="2">
        <v>0.06</v>
      </c>
      <c r="C2" s="2">
        <v>0.08</v>
      </c>
      <c r="D2" s="9">
        <v>0.1</v>
      </c>
      <c r="E2" s="2">
        <v>0.15</v>
      </c>
      <c r="F2" s="2">
        <v>0.18</v>
      </c>
      <c r="G2" s="2">
        <v>0.2</v>
      </c>
      <c r="H2">
        <v>3.9E-2</v>
      </c>
      <c r="I2">
        <f>39.05*10^(-3)</f>
        <v>3.9050000000000001E-2</v>
      </c>
    </row>
    <row r="3" spans="1:9" x14ac:dyDescent="0.45">
      <c r="A3" s="10" t="s">
        <v>13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45">
      <c r="A4" s="10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45">
      <c r="A5" s="10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45">
      <c r="A6" s="10"/>
      <c r="C6">
        <v>61</v>
      </c>
    </row>
    <row r="7" spans="1:9" x14ac:dyDescent="0.45">
      <c r="A7" s="10"/>
      <c r="C7">
        <v>64</v>
      </c>
    </row>
    <row r="8" spans="1:9" x14ac:dyDescent="0.45">
      <c r="A8" s="2" t="s">
        <v>19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45">
      <c r="A9" s="2" t="s">
        <v>18</v>
      </c>
      <c r="B9">
        <f>RADIANS(B8)</f>
        <v>1.6347917327013555</v>
      </c>
      <c r="C9">
        <f t="shared" ref="C9:G9" si="0">RADIANS(C8)</f>
        <v>1.0751228192285069</v>
      </c>
      <c r="D9">
        <f t="shared" si="0"/>
        <v>0.77376263505081944</v>
      </c>
      <c r="E9">
        <f t="shared" si="0"/>
        <v>0.42469678465195349</v>
      </c>
      <c r="F9">
        <f t="shared" si="0"/>
        <v>0.25598162362583499</v>
      </c>
      <c r="G9">
        <f t="shared" si="0"/>
        <v>0.1803506893727474</v>
      </c>
    </row>
    <row r="10" spans="1:9" x14ac:dyDescent="0.45">
      <c r="A10" s="2" t="s">
        <v>20</v>
      </c>
      <c r="B10">
        <f>_xlfn.STDEV.S(B3:B5)</f>
        <v>1.5275252316519468</v>
      </c>
      <c r="C10">
        <f>_xlfn.STDEV.S(C3:C5)</f>
        <v>3</v>
      </c>
      <c r="D10">
        <f>_xlfn.STDEV.S(D3:D5)</f>
        <v>0.57735026918962584</v>
      </c>
      <c r="E10">
        <f>_xlfn.STDEV.S(E3:E5)</f>
        <v>0.57735026918962584</v>
      </c>
      <c r="F10">
        <f>_xlfn.STDEV.S(F3:F5)</f>
        <v>0.57735026918962573</v>
      </c>
      <c r="G10">
        <f>_xlfn.STDEV.S(G3:G5)</f>
        <v>0.57735026918962573</v>
      </c>
      <c r="H10" s="4"/>
    </row>
    <row r="11" spans="1:9" x14ac:dyDescent="0.45">
      <c r="A11" s="2" t="s">
        <v>21</v>
      </c>
      <c r="B11">
        <f>RADIANS(B10)</f>
        <v>2.6660344699615573E-2</v>
      </c>
      <c r="C11">
        <f t="shared" ref="C11:G11" si="1">RADIANS(C10)</f>
        <v>5.235987755982989E-2</v>
      </c>
      <c r="D11">
        <f t="shared" si="1"/>
        <v>1.0076663134634544E-2</v>
      </c>
      <c r="E11">
        <f t="shared" si="1"/>
        <v>1.0076663134634544E-2</v>
      </c>
      <c r="F11">
        <f t="shared" si="1"/>
        <v>1.0076663134634543E-2</v>
      </c>
      <c r="G11">
        <f t="shared" si="1"/>
        <v>1.0076663134634543E-2</v>
      </c>
    </row>
    <row r="12" spans="1:9" x14ac:dyDescent="0.45">
      <c r="A12" s="2" t="s">
        <v>22</v>
      </c>
      <c r="B12">
        <v>4</v>
      </c>
      <c r="C12">
        <v>4</v>
      </c>
      <c r="D12">
        <v>3.5</v>
      </c>
      <c r="E12">
        <v>3</v>
      </c>
      <c r="F12">
        <v>3</v>
      </c>
      <c r="G12">
        <v>3</v>
      </c>
    </row>
    <row r="13" spans="1:9" x14ac:dyDescent="0.45">
      <c r="A13" s="2" t="s">
        <v>23</v>
      </c>
      <c r="B13">
        <f>RADIANS(B12)</f>
        <v>6.9813170079773182E-2</v>
      </c>
      <c r="C13">
        <f t="shared" ref="C13:H13" si="2">RADIANS(C12)</f>
        <v>6.9813170079773182E-2</v>
      </c>
      <c r="D13">
        <f t="shared" si="2"/>
        <v>6.1086523819801536E-2</v>
      </c>
      <c r="E13">
        <f t="shared" si="2"/>
        <v>5.235987755982989E-2</v>
      </c>
      <c r="F13">
        <f t="shared" si="2"/>
        <v>5.235987755982989E-2</v>
      </c>
      <c r="G13">
        <f t="shared" si="2"/>
        <v>5.235987755982989E-2</v>
      </c>
    </row>
    <row r="14" spans="1:9" x14ac:dyDescent="0.45">
      <c r="D14" s="4"/>
      <c r="E14" s="4"/>
    </row>
    <row r="15" spans="1:9" x14ac:dyDescent="0.45">
      <c r="C15" s="4"/>
      <c r="E15" s="4"/>
    </row>
    <row r="16" spans="1:9" x14ac:dyDescent="0.45">
      <c r="E16" s="4"/>
    </row>
  </sheetData>
  <mergeCells count="2">
    <mergeCell ref="B1:G1"/>
    <mergeCell ref="A3:A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tabSelected="1" workbookViewId="0">
      <selection activeCell="E2" sqref="E2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2" t="s">
        <v>5</v>
      </c>
      <c r="B1" s="5" t="s">
        <v>13</v>
      </c>
      <c r="C1" s="2" t="s">
        <v>14</v>
      </c>
      <c r="D1" t="s">
        <v>6</v>
      </c>
      <c r="E1" t="s">
        <v>24</v>
      </c>
    </row>
    <row r="2" spans="1:14" x14ac:dyDescent="0.45">
      <c r="A2">
        <v>6000</v>
      </c>
      <c r="B2">
        <v>70</v>
      </c>
      <c r="C2">
        <f>RADIANS(B2)</f>
        <v>1.2217304763960306</v>
      </c>
      <c r="N2" t="s">
        <v>4</v>
      </c>
    </row>
    <row r="3" spans="1:14" x14ac:dyDescent="0.45">
      <c r="A3">
        <v>5500</v>
      </c>
      <c r="B3">
        <v>62</v>
      </c>
      <c r="C3">
        <f t="shared" ref="C3:C10" si="0">RADIANS(B3)</f>
        <v>1.0821041362364843</v>
      </c>
    </row>
    <row r="4" spans="1:14" x14ac:dyDescent="0.45">
      <c r="A4">
        <v>5000</v>
      </c>
      <c r="B4">
        <v>48</v>
      </c>
      <c r="C4">
        <f t="shared" si="0"/>
        <v>0.83775804095727824</v>
      </c>
    </row>
    <row r="5" spans="1:14" x14ac:dyDescent="0.45">
      <c r="A5">
        <v>4500</v>
      </c>
      <c r="B5">
        <v>41</v>
      </c>
      <c r="C5">
        <f t="shared" si="0"/>
        <v>0.71558499331767511</v>
      </c>
    </row>
    <row r="6" spans="1:14" x14ac:dyDescent="0.45">
      <c r="A6">
        <v>4000</v>
      </c>
      <c r="B6">
        <v>35</v>
      </c>
      <c r="C6">
        <f t="shared" si="0"/>
        <v>0.6108652381980153</v>
      </c>
    </row>
    <row r="7" spans="1:14" x14ac:dyDescent="0.45">
      <c r="A7">
        <v>3500</v>
      </c>
      <c r="B7">
        <v>23</v>
      </c>
      <c r="C7">
        <f t="shared" si="0"/>
        <v>0.4014257279586958</v>
      </c>
    </row>
    <row r="8" spans="1:14" x14ac:dyDescent="0.45">
      <c r="A8">
        <v>3000</v>
      </c>
      <c r="B8">
        <v>20</v>
      </c>
      <c r="C8">
        <f t="shared" si="0"/>
        <v>0.3490658503988659</v>
      </c>
    </row>
    <row r="9" spans="1:14" x14ac:dyDescent="0.45">
      <c r="A9">
        <v>2500</v>
      </c>
      <c r="B9">
        <v>14</v>
      </c>
      <c r="C9">
        <f t="shared" si="0"/>
        <v>0.24434609527920614</v>
      </c>
    </row>
    <row r="10" spans="1:14" x14ac:dyDescent="0.45">
      <c r="A10">
        <v>2000</v>
      </c>
      <c r="B10">
        <v>10</v>
      </c>
      <c r="C10">
        <f t="shared" si="0"/>
        <v>0.17453292519943295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C2" sqref="C2:C10"/>
    </sheetView>
  </sheetViews>
  <sheetFormatPr defaultRowHeight="14.25" x14ac:dyDescent="0.45"/>
  <cols>
    <col min="1" max="1" width="17.46484375" customWidth="1"/>
    <col min="4" max="4" width="14.3984375" customWidth="1"/>
    <col min="8" max="8" width="14.19921875" customWidth="1"/>
  </cols>
  <sheetData>
    <row r="1" spans="1:8" x14ac:dyDescent="0.45">
      <c r="A1" s="2" t="s">
        <v>12</v>
      </c>
      <c r="B1" s="5" t="s">
        <v>13</v>
      </c>
      <c r="C1" s="2" t="s">
        <v>14</v>
      </c>
      <c r="D1" s="8" t="s">
        <v>2</v>
      </c>
      <c r="E1" t="s">
        <v>6</v>
      </c>
    </row>
    <row r="2" spans="1:8" x14ac:dyDescent="0.45">
      <c r="A2">
        <v>6000</v>
      </c>
      <c r="B2">
        <v>70</v>
      </c>
      <c r="C2">
        <f>RADIANS(B2)</f>
        <v>1.2217304763960306</v>
      </c>
      <c r="D2">
        <v>6000</v>
      </c>
    </row>
    <row r="3" spans="1:8" x14ac:dyDescent="0.45">
      <c r="A3">
        <v>5500</v>
      </c>
      <c r="B3">
        <v>65</v>
      </c>
      <c r="C3">
        <f t="shared" ref="C3:C10" si="0">RADIANS(B3)</f>
        <v>1.1344640137963142</v>
      </c>
    </row>
    <row r="4" spans="1:8" x14ac:dyDescent="0.45">
      <c r="A4">
        <v>5000</v>
      </c>
      <c r="B4">
        <v>61</v>
      </c>
      <c r="C4">
        <f t="shared" si="0"/>
        <v>1.064650843716541</v>
      </c>
    </row>
    <row r="5" spans="1:8" x14ac:dyDescent="0.45">
      <c r="A5">
        <v>4500</v>
      </c>
      <c r="B5">
        <v>59</v>
      </c>
      <c r="C5">
        <f t="shared" si="0"/>
        <v>1.0297442586766545</v>
      </c>
    </row>
    <row r="6" spans="1:8" x14ac:dyDescent="0.45">
      <c r="A6">
        <v>4000</v>
      </c>
      <c r="B6">
        <v>52</v>
      </c>
      <c r="C6">
        <f t="shared" si="0"/>
        <v>0.90757121103705141</v>
      </c>
    </row>
    <row r="7" spans="1:8" x14ac:dyDescent="0.45">
      <c r="A7">
        <v>3500</v>
      </c>
      <c r="B7">
        <v>43</v>
      </c>
      <c r="C7">
        <f t="shared" si="0"/>
        <v>0.75049157835756175</v>
      </c>
    </row>
    <row r="8" spans="1:8" x14ac:dyDescent="0.45">
      <c r="A8">
        <v>3000</v>
      </c>
      <c r="B8">
        <v>39</v>
      </c>
      <c r="C8">
        <f t="shared" si="0"/>
        <v>0.68067840827778847</v>
      </c>
    </row>
    <row r="9" spans="1:8" x14ac:dyDescent="0.45">
      <c r="A9">
        <v>2500</v>
      </c>
      <c r="B9">
        <v>35</v>
      </c>
      <c r="C9">
        <f t="shared" si="0"/>
        <v>0.6108652381980153</v>
      </c>
    </row>
    <row r="10" spans="1:8" x14ac:dyDescent="0.45">
      <c r="A10">
        <v>2000</v>
      </c>
      <c r="B10">
        <v>28</v>
      </c>
      <c r="C10">
        <f t="shared" si="0"/>
        <v>0.48869219055841229</v>
      </c>
    </row>
    <row r="13" spans="1:8" x14ac:dyDescent="0.45">
      <c r="H1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C6"/>
  <sheetViews>
    <sheetView workbookViewId="0">
      <selection activeCell="J10" sqref="J10"/>
    </sheetView>
  </sheetViews>
  <sheetFormatPr defaultRowHeight="14.25" x14ac:dyDescent="0.45"/>
  <cols>
    <col min="1" max="1" width="12.3984375" customWidth="1"/>
    <col min="3" max="3" width="13.59765625" customWidth="1"/>
  </cols>
  <sheetData>
    <row r="1" spans="1:3" x14ac:dyDescent="0.45">
      <c r="A1" t="s">
        <v>3</v>
      </c>
      <c r="B1" s="3" t="s">
        <v>0</v>
      </c>
      <c r="C1" t="s">
        <v>7</v>
      </c>
    </row>
    <row r="2" spans="1:3" x14ac:dyDescent="0.45">
      <c r="A2">
        <v>20</v>
      </c>
      <c r="B2">
        <v>136</v>
      </c>
    </row>
    <row r="3" spans="1:3" x14ac:dyDescent="0.45">
      <c r="A3">
        <v>40</v>
      </c>
      <c r="B3">
        <v>282</v>
      </c>
    </row>
    <row r="4" spans="1:3" x14ac:dyDescent="0.45">
      <c r="A4">
        <v>50</v>
      </c>
      <c r="B4">
        <v>355</v>
      </c>
    </row>
    <row r="5" spans="1:3" x14ac:dyDescent="0.45">
      <c r="A5">
        <v>70</v>
      </c>
      <c r="B5">
        <v>500</v>
      </c>
    </row>
    <row r="6" spans="1:3" x14ac:dyDescent="0.45">
      <c r="A6">
        <v>90</v>
      </c>
      <c r="B6" s="6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1DAFC-257B-4835-8493-92380BB15657}">
  <dimension ref="A1:F9"/>
  <sheetViews>
    <sheetView workbookViewId="0">
      <selection activeCell="D2" sqref="D2"/>
    </sheetView>
  </sheetViews>
  <sheetFormatPr defaultRowHeight="14.25" x14ac:dyDescent="0.45"/>
  <sheetData>
    <row r="1" spans="1:6" x14ac:dyDescent="0.45">
      <c r="A1" t="s">
        <v>9</v>
      </c>
      <c r="B1" t="s">
        <v>10</v>
      </c>
      <c r="C1" t="s">
        <v>11</v>
      </c>
      <c r="D1" t="s">
        <v>0</v>
      </c>
      <c r="E1" t="s">
        <v>1</v>
      </c>
      <c r="F1" t="s">
        <v>8</v>
      </c>
    </row>
    <row r="2" spans="1:6" x14ac:dyDescent="0.45">
      <c r="A2">
        <v>6000</v>
      </c>
      <c r="B2">
        <v>6000</v>
      </c>
      <c r="C2">
        <v>3.9050000000000001E-2</v>
      </c>
    </row>
    <row r="3" spans="1:6" x14ac:dyDescent="0.45">
      <c r="A3">
        <v>6000</v>
      </c>
      <c r="B3">
        <v>6000</v>
      </c>
    </row>
    <row r="4" spans="1:6" x14ac:dyDescent="0.45">
      <c r="A4">
        <v>6000</v>
      </c>
      <c r="B4">
        <v>6000</v>
      </c>
    </row>
    <row r="5" spans="1:6" x14ac:dyDescent="0.45">
      <c r="A5">
        <v>6000</v>
      </c>
      <c r="B5">
        <v>6000</v>
      </c>
    </row>
    <row r="6" spans="1:6" x14ac:dyDescent="0.45">
      <c r="A6">
        <v>6000</v>
      </c>
      <c r="B6">
        <v>6000</v>
      </c>
    </row>
    <row r="7" spans="1:6" x14ac:dyDescent="0.45">
      <c r="A7">
        <v>6000</v>
      </c>
      <c r="B7">
        <v>6000</v>
      </c>
    </row>
    <row r="8" spans="1:6" x14ac:dyDescent="0.45">
      <c r="A8">
        <v>6000</v>
      </c>
      <c r="B8">
        <v>6000</v>
      </c>
    </row>
    <row r="9" spans="1:6" x14ac:dyDescent="0.45">
      <c r="A9">
        <v>6000</v>
      </c>
      <c r="B9">
        <v>6000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6CAFCD-1DEC-49C0-A40A-CD1CA0867B3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purl.org/dc/dcmitype/"/>
    <ds:schemaRef ds:uri="d72476d7-13f4-49c1-b8ad-54b424d3f220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Angolo</vt:lpstr>
      <vt:lpstr>Potenziale uguale</vt:lpstr>
      <vt:lpstr>Potenziale diverso</vt:lpstr>
      <vt:lpstr>Costante di torsione</vt:lpstr>
      <vt:lpstr>Foglio5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2026-04-28T16:11:10Z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