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31" documentId="11_2D5A5350530E4990990D786E141DD8F7515ABA93" xr6:coauthVersionLast="47" xr6:coauthVersionMax="47" xr10:uidLastSave="{F04EAB62-478E-44BB-96D5-B84D84151D08}"/>
  <bookViews>
    <workbookView xWindow="-98" yWindow="-98" windowWidth="21795" windowHeight="12975" activeTab="1" xr2:uid="{00000000-000D-0000-FFFF-FFFF00000000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C6" i="4"/>
  <c r="D5" i="4"/>
  <c r="C5" i="4"/>
  <c r="D4" i="4"/>
  <c r="C4" i="4"/>
  <c r="D3" i="4"/>
  <c r="C3" i="4"/>
  <c r="D2" i="4"/>
  <c r="C2" i="4"/>
  <c r="A2" i="4"/>
  <c r="E10" i="3"/>
  <c r="D10" i="3"/>
  <c r="E9" i="3"/>
  <c r="D9" i="3"/>
  <c r="E8" i="3"/>
  <c r="D8" i="3"/>
  <c r="E7" i="3"/>
  <c r="D7" i="3"/>
  <c r="E6" i="3"/>
  <c r="D6" i="3"/>
  <c r="E5" i="3"/>
  <c r="D5" i="3"/>
  <c r="F4" i="3"/>
  <c r="E4" i="3"/>
  <c r="D4" i="3"/>
  <c r="E3" i="3"/>
  <c r="D3" i="3"/>
  <c r="G2" i="3"/>
  <c r="E2" i="3"/>
  <c r="D2" i="3"/>
  <c r="E10" i="2"/>
  <c r="D10" i="2"/>
  <c r="E9" i="2"/>
  <c r="D9" i="2"/>
  <c r="E8" i="2"/>
  <c r="D8" i="2"/>
  <c r="E7" i="2"/>
  <c r="D7" i="2"/>
  <c r="E6" i="2"/>
  <c r="D6" i="2"/>
  <c r="E5" i="2"/>
  <c r="D5" i="2"/>
  <c r="F4" i="2"/>
  <c r="E4" i="2"/>
  <c r="D4" i="2"/>
  <c r="E3" i="2"/>
  <c r="D3" i="2"/>
  <c r="G2" i="2"/>
  <c r="E2" i="2"/>
  <c r="D2" i="2"/>
  <c r="G14" i="1"/>
  <c r="F14" i="1"/>
  <c r="E14" i="1"/>
  <c r="D14" i="1"/>
  <c r="C14" i="1"/>
  <c r="B14" i="1"/>
  <c r="G9" i="1"/>
  <c r="G10" i="1" s="1"/>
  <c r="F9" i="1"/>
  <c r="F11" i="1" s="1"/>
  <c r="F12" i="1" s="1"/>
  <c r="E9" i="1"/>
  <c r="E11" i="1" s="1"/>
  <c r="E12" i="1" s="1"/>
  <c r="D9" i="1"/>
  <c r="D11" i="1" s="1"/>
  <c r="D12" i="1" s="1"/>
  <c r="C9" i="1"/>
  <c r="C11" i="1" s="1"/>
  <c r="C12" i="1" s="1"/>
  <c r="B9" i="1"/>
  <c r="B11" i="1" s="1"/>
  <c r="B12" i="1" s="1"/>
  <c r="G7" i="1"/>
  <c r="G8" i="1" s="1"/>
  <c r="F7" i="1"/>
  <c r="F8" i="1" s="1"/>
  <c r="E7" i="1"/>
  <c r="E8" i="1" s="1"/>
  <c r="D7" i="1"/>
  <c r="D8" i="1" s="1"/>
  <c r="C7" i="1"/>
  <c r="C8" i="1" s="1"/>
  <c r="B7" i="1"/>
  <c r="B8" i="1" s="1"/>
  <c r="I2" i="1"/>
  <c r="G11" i="1" l="1"/>
  <c r="G12" i="1" s="1"/>
  <c r="C10" i="1"/>
  <c r="D10" i="1"/>
  <c r="E10" i="1"/>
  <c r="F10" i="1"/>
  <c r="B10" i="1"/>
</calcChain>
</file>

<file path=xl/sharedStrings.xml><?xml version="1.0" encoding="utf-8"?>
<sst xmlns="http://schemas.openxmlformats.org/spreadsheetml/2006/main" count="38" uniqueCount="25">
  <si>
    <t>r [m]</t>
  </si>
  <si>
    <t>d [m]</t>
  </si>
  <si>
    <t>a [m]</t>
  </si>
  <si>
    <t>θ (°)</t>
  </si>
  <si>
    <t>Err.a [m]</t>
  </si>
  <si>
    <t>Media (°)</t>
  </si>
  <si>
    <t>Media (rad)</t>
  </si>
  <si>
    <t>Dev.std (°)</t>
  </si>
  <si>
    <t>Dev.std (rad)</t>
  </si>
  <si>
    <t>Err.Media (°)</t>
  </si>
  <si>
    <t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</si>
  <si>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</si>
  <si>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>Errore r</t>
  </si>
  <si>
    <t>Potenziale [V]</t>
  </si>
  <si>
    <t xml:space="preserve">Err.Pot [V] </t>
  </si>
  <si>
    <t>θ (rad)</t>
  </si>
  <si>
    <t>Err.θ [rad]</t>
  </si>
  <si>
    <t xml:space="preserve">                                                                                                       </t>
  </si>
  <si>
    <t>errore a [m]</t>
  </si>
  <si>
    <t>Err.Pot [V]</t>
  </si>
  <si>
    <t>θ [°]</t>
  </si>
  <si>
    <t>θ [rad]</t>
  </si>
  <si>
    <t>Potenziale fisso</t>
  </si>
  <si>
    <t>Massa [kg]</t>
  </si>
  <si>
    <t>b=118,15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</si>
</sst>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00"/>
    <numFmt numFmtId="170" formatCode="0.0"/>
  </numFmts>
  <fonts count="4">
    <font>
      <sz val="11"/>
      <color theme="1"/>
      <name val="Aptos Narrow"/>
      <scheme val="minor"/>
    </font>
    <font>
      <u/>
      <sz val="11"/>
      <color theme="1"/>
      <name val="Aptos Narrow"/>
      <scheme val="minor"/>
    </font>
    <font>
      <sz val="11"/>
      <name val="Aptos Narrow"/>
    </font>
    <font>
      <vertAlign val="subscript"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2" fontId="0" fillId="3" borderId="0" xfId="0" applyNumberFormat="1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3" borderId="0" xfId="0" applyFill="1" applyAlignment="1">
      <alignment vertical="center"/>
    </xf>
    <xf numFmtId="0" fontId="2" fillId="6" borderId="0" xfId="0" applyFont="1" applyFill="1"/>
    <xf numFmtId="0" fontId="2" fillId="0" borderId="0" xfId="0" applyFont="1"/>
    <xf numFmtId="0" fontId="0" fillId="2" borderId="0" xfId="0" applyFill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/>
    <xf numFmtId="2" fontId="0" fillId="0" borderId="0" xfId="0" applyNumberFormat="1"/>
    <xf numFmtId="170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workbookViewId="0">
      <selection activeCell="G25" sqref="G25"/>
    </sheetView>
  </sheetViews>
  <sheetFormatPr defaultRowHeight="14.25"/>
  <cols>
    <col min="1" max="1" width="12.73046875" bestFit="1" customWidth="1"/>
    <col min="2" max="7" width="14.33203125" bestFit="1" customWidth="1"/>
    <col min="8" max="8" width="7.265625" bestFit="1" customWidth="1"/>
    <col min="9" max="9" width="6.1328125" bestFit="1" customWidth="1"/>
    <col min="10" max="10" width="9.86328125" bestFit="1" customWidth="1"/>
  </cols>
  <sheetData>
    <row r="1" spans="1:9">
      <c r="B1" s="10" t="s">
        <v>0</v>
      </c>
      <c r="C1" s="10"/>
      <c r="D1" s="10"/>
      <c r="E1" s="10"/>
      <c r="F1" s="10"/>
      <c r="G1" s="10"/>
      <c r="H1" s="1" t="s">
        <v>1</v>
      </c>
      <c r="I1" s="1" t="s">
        <v>2</v>
      </c>
    </row>
    <row r="2" spans="1:9">
      <c r="B2" s="2">
        <v>0.06</v>
      </c>
      <c r="C2" s="2">
        <v>0.08</v>
      </c>
      <c r="D2" s="3">
        <v>0.1</v>
      </c>
      <c r="E2" s="2">
        <v>0.15</v>
      </c>
      <c r="F2" s="2">
        <v>0.18</v>
      </c>
      <c r="G2" s="2">
        <v>0.2</v>
      </c>
      <c r="H2" s="15">
        <v>3.9E-2</v>
      </c>
      <c r="I2">
        <f>H2/2</f>
        <v>1.95E-2</v>
      </c>
    </row>
    <row r="3" spans="1:9">
      <c r="A3" s="11" t="s">
        <v>3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  <c r="H3" s="10" t="s">
        <v>4</v>
      </c>
      <c r="I3" s="10"/>
    </row>
    <row r="4" spans="1:9">
      <c r="A4" s="12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  <c r="H4" s="14">
        <v>1E-3</v>
      </c>
      <c r="I4" s="14"/>
    </row>
    <row r="5" spans="1:9">
      <c r="A5" s="13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spans="1:9">
      <c r="A7" s="4" t="s">
        <v>5</v>
      </c>
      <c r="B7" s="17">
        <f t="shared" ref="B7:G7" si="0">AVERAGE(B3:B5)</f>
        <v>98</v>
      </c>
      <c r="C7" s="17">
        <f t="shared" si="0"/>
        <v>68</v>
      </c>
      <c r="D7" s="17">
        <f t="shared" si="0"/>
        <v>49.333333333333336</v>
      </c>
      <c r="E7" s="17">
        <f t="shared" si="0"/>
        <v>29.333333333333332</v>
      </c>
      <c r="F7" s="17">
        <f t="shared" si="0"/>
        <v>19.666666666666668</v>
      </c>
      <c r="G7" s="17">
        <f t="shared" si="0"/>
        <v>14.333333333333334</v>
      </c>
    </row>
    <row r="8" spans="1:9">
      <c r="A8" s="4" t="s">
        <v>6</v>
      </c>
      <c r="B8" s="16">
        <f t="shared" ref="B8:G8" si="1">RADIANS(B7)</f>
        <v>1.7104226669544429</v>
      </c>
      <c r="C8" s="16">
        <f t="shared" si="1"/>
        <v>1.1868238913561442</v>
      </c>
      <c r="D8" s="16">
        <f t="shared" si="1"/>
        <v>0.86102909765053592</v>
      </c>
      <c r="E8" s="16">
        <f t="shared" si="1"/>
        <v>0.51196324725166997</v>
      </c>
      <c r="F8" s="16">
        <f t="shared" si="1"/>
        <v>0.34324808622555147</v>
      </c>
      <c r="G8" s="16">
        <f t="shared" si="1"/>
        <v>0.25016385945252056</v>
      </c>
    </row>
    <row r="9" spans="1:9">
      <c r="A9" s="4" t="s">
        <v>7</v>
      </c>
      <c r="B9" s="17">
        <f t="shared" ref="B9:G9" si="2">_xlfn.STDEV.S(B3:B5)</f>
        <v>1</v>
      </c>
      <c r="C9" s="17">
        <f t="shared" si="2"/>
        <v>1.7320508075688772</v>
      </c>
      <c r="D9" s="17">
        <f t="shared" si="2"/>
        <v>0.57735026918962584</v>
      </c>
      <c r="E9" s="17">
        <f t="shared" si="2"/>
        <v>0.57735026918962584</v>
      </c>
      <c r="F9" s="17">
        <f t="shared" si="2"/>
        <v>0.57735026918962584</v>
      </c>
      <c r="G9" s="17">
        <f t="shared" si="2"/>
        <v>0.57735026918962573</v>
      </c>
    </row>
    <row r="10" spans="1:9">
      <c r="A10" s="4" t="s">
        <v>8</v>
      </c>
      <c r="B10" s="16">
        <f t="shared" ref="B10:G10" si="3">RADIANS(B9)</f>
        <v>1.7453292519943295E-2</v>
      </c>
      <c r="C10" s="16">
        <f t="shared" si="3"/>
        <v>3.0229989403903628E-2</v>
      </c>
      <c r="D10" s="16">
        <f t="shared" si="3"/>
        <v>1.0076663134634544E-2</v>
      </c>
      <c r="E10" s="16">
        <f t="shared" si="3"/>
        <v>1.0076663134634544E-2</v>
      </c>
      <c r="F10" s="16">
        <f t="shared" si="3"/>
        <v>1.0076663134634544E-2</v>
      </c>
      <c r="G10" s="16">
        <f t="shared" si="3"/>
        <v>1.0076663134634543E-2</v>
      </c>
      <c r="H10" s="5"/>
    </row>
    <row r="11" spans="1:9">
      <c r="A11" s="4" t="s">
        <v>9</v>
      </c>
      <c r="B11" s="17">
        <f t="shared" ref="B11:G11" si="4">B9/$G$9*2</f>
        <v>3.4641016151377548</v>
      </c>
      <c r="C11" s="17">
        <f t="shared" si="4"/>
        <v>6</v>
      </c>
      <c r="D11" s="17">
        <f t="shared" si="4"/>
        <v>2.0000000000000004</v>
      </c>
      <c r="E11" s="17">
        <f t="shared" si="4"/>
        <v>2.0000000000000004</v>
      </c>
      <c r="F11" s="17">
        <f t="shared" si="4"/>
        <v>2.0000000000000004</v>
      </c>
      <c r="G11" s="17">
        <f t="shared" si="4"/>
        <v>2</v>
      </c>
    </row>
    <row r="12" spans="1:9">
      <c r="A12" s="4" t="s">
        <v>10</v>
      </c>
      <c r="B12" s="16">
        <f t="shared" ref="B12:G12" si="5">RADIANS(B11)</f>
        <v>6.0459978807807263E-2</v>
      </c>
      <c r="C12" s="16">
        <f t="shared" si="5"/>
        <v>0.10471975511965978</v>
      </c>
      <c r="D12" s="16">
        <f t="shared" si="5"/>
        <v>3.4906585039886598E-2</v>
      </c>
      <c r="E12" s="16">
        <f t="shared" si="5"/>
        <v>3.4906585039886598E-2</v>
      </c>
      <c r="F12" s="16">
        <f t="shared" si="5"/>
        <v>3.4906585039886598E-2</v>
      </c>
      <c r="G12" s="16">
        <f t="shared" si="5"/>
        <v>3.4906585039886591E-2</v>
      </c>
    </row>
    <row r="14" spans="1:9" ht="15.75">
      <c r="A14" s="4" t="s">
        <v>11</v>
      </c>
      <c r="B14">
        <f t="shared" ref="B14:G14" si="6">B2+$H$2</f>
        <v>9.9000000000000005E-2</v>
      </c>
      <c r="C14">
        <f t="shared" si="6"/>
        <v>0.11899999999999999</v>
      </c>
      <c r="D14">
        <f t="shared" si="6"/>
        <v>0.13900000000000001</v>
      </c>
      <c r="E14">
        <f t="shared" si="6"/>
        <v>0.189</v>
      </c>
      <c r="F14">
        <f t="shared" si="6"/>
        <v>0.219</v>
      </c>
      <c r="G14">
        <f t="shared" si="6"/>
        <v>0.23900000000000002</v>
      </c>
    </row>
    <row r="15" spans="1:9">
      <c r="A15" s="4" t="s">
        <v>12</v>
      </c>
      <c r="B15">
        <v>1E-3</v>
      </c>
      <c r="C15">
        <v>1E-3</v>
      </c>
      <c r="D15">
        <v>1E-3</v>
      </c>
      <c r="E15">
        <v>1E-3</v>
      </c>
      <c r="F15">
        <v>1E-3</v>
      </c>
      <c r="G15">
        <v>1E-3</v>
      </c>
    </row>
  </sheetData>
  <mergeCells count="4">
    <mergeCell ref="B1:G1"/>
    <mergeCell ref="A3:A5"/>
    <mergeCell ref="H3:I3"/>
    <mergeCell ref="H4:I4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tabSelected="1" workbookViewId="0">
      <selection activeCell="K16" sqref="K16"/>
    </sheetView>
  </sheetViews>
  <sheetFormatPr defaultRowHeight="14.25"/>
  <cols>
    <col min="1" max="1" width="14.265625" customWidth="1"/>
    <col min="2" max="2" width="9.53125" bestFit="1"/>
    <col min="4" max="4" width="11.265625" bestFit="1" customWidth="1"/>
    <col min="5" max="5" width="9.53125" bestFit="1"/>
    <col min="6" max="6" width="7.1328125" bestFit="1"/>
    <col min="12" max="12" width="13.86328125" customWidth="1"/>
  </cols>
  <sheetData>
    <row r="1" spans="1:14">
      <c r="A1" s="2" t="s">
        <v>13</v>
      </c>
      <c r="B1" s="6" t="s">
        <v>14</v>
      </c>
      <c r="C1" s="7" t="s">
        <v>3</v>
      </c>
      <c r="D1" s="2" t="s">
        <v>15</v>
      </c>
      <c r="E1" s="6" t="s">
        <v>16</v>
      </c>
      <c r="F1" s="1" t="s">
        <v>1</v>
      </c>
      <c r="G1" s="1" t="s">
        <v>2</v>
      </c>
    </row>
    <row r="2" spans="1:14">
      <c r="A2">
        <v>6000</v>
      </c>
      <c r="B2">
        <v>10</v>
      </c>
      <c r="C2">
        <v>70</v>
      </c>
      <c r="D2" s="16">
        <f t="shared" ref="D2:D9" si="0">RADIANS(C2)</f>
        <v>1.2217304763960306</v>
      </c>
      <c r="E2" s="16">
        <f t="shared" ref="E2:E10" si="1">RADIANS(4)</f>
        <v>6.9813170079773182E-2</v>
      </c>
      <c r="F2">
        <v>3.9E-2</v>
      </c>
      <c r="G2" s="15">
        <f>F2/2</f>
        <v>1.95E-2</v>
      </c>
      <c r="N2" t="s">
        <v>17</v>
      </c>
    </row>
    <row r="3" spans="1:14">
      <c r="A3">
        <v>5500</v>
      </c>
      <c r="B3">
        <v>10</v>
      </c>
      <c r="C3">
        <v>62</v>
      </c>
      <c r="D3" s="16">
        <f t="shared" si="0"/>
        <v>1.0821041362364843</v>
      </c>
      <c r="E3" s="16">
        <f t="shared" si="1"/>
        <v>6.9813170079773182E-2</v>
      </c>
      <c r="F3" s="1" t="s">
        <v>0</v>
      </c>
      <c r="G3" s="1" t="s">
        <v>18</v>
      </c>
    </row>
    <row r="4" spans="1:14">
      <c r="A4">
        <v>5000</v>
      </c>
      <c r="B4">
        <v>10</v>
      </c>
      <c r="C4">
        <v>48</v>
      </c>
      <c r="D4" s="16">
        <f t="shared" si="0"/>
        <v>0.83775804095727824</v>
      </c>
      <c r="E4" s="16">
        <f t="shared" si="1"/>
        <v>6.9813170079773182E-2</v>
      </c>
      <c r="F4">
        <f>F2+0.08</f>
        <v>0.11899999999999999</v>
      </c>
      <c r="G4">
        <v>1E-3</v>
      </c>
    </row>
    <row r="5" spans="1:14">
      <c r="A5">
        <v>4500</v>
      </c>
      <c r="B5">
        <v>10</v>
      </c>
      <c r="C5">
        <v>41</v>
      </c>
      <c r="D5" s="16">
        <f t="shared" si="0"/>
        <v>0.71558499331767511</v>
      </c>
      <c r="E5" s="16">
        <f t="shared" si="1"/>
        <v>6.9813170079773182E-2</v>
      </c>
    </row>
    <row r="6" spans="1:14">
      <c r="A6">
        <v>4000</v>
      </c>
      <c r="B6">
        <v>10</v>
      </c>
      <c r="C6">
        <v>35</v>
      </c>
      <c r="D6" s="16">
        <f t="shared" si="0"/>
        <v>0.6108652381980153</v>
      </c>
      <c r="E6" s="16">
        <f t="shared" si="1"/>
        <v>6.9813170079773182E-2</v>
      </c>
    </row>
    <row r="7" spans="1:14">
      <c r="A7">
        <v>3500</v>
      </c>
      <c r="B7">
        <v>10</v>
      </c>
      <c r="C7">
        <v>23</v>
      </c>
      <c r="D7" s="16">
        <f t="shared" si="0"/>
        <v>0.4014257279586958</v>
      </c>
      <c r="E7" s="16">
        <f t="shared" si="1"/>
        <v>6.9813170079773182E-2</v>
      </c>
    </row>
    <row r="8" spans="1:14">
      <c r="A8">
        <v>3000</v>
      </c>
      <c r="B8">
        <v>10</v>
      </c>
      <c r="C8">
        <v>20</v>
      </c>
      <c r="D8" s="16">
        <f t="shared" si="0"/>
        <v>0.3490658503988659</v>
      </c>
      <c r="E8" s="16">
        <f t="shared" si="1"/>
        <v>6.9813170079773182E-2</v>
      </c>
    </row>
    <row r="9" spans="1:14">
      <c r="A9">
        <v>2500</v>
      </c>
      <c r="B9">
        <v>10</v>
      </c>
      <c r="C9">
        <v>14</v>
      </c>
      <c r="D9" s="16">
        <f t="shared" si="0"/>
        <v>0.24434609527920614</v>
      </c>
      <c r="E9" s="16">
        <f t="shared" si="1"/>
        <v>6.9813170079773182E-2</v>
      </c>
    </row>
    <row r="10" spans="1:14">
      <c r="A10">
        <v>2000</v>
      </c>
      <c r="B10">
        <v>10</v>
      </c>
      <c r="C10">
        <v>10</v>
      </c>
      <c r="D10" s="16">
        <f>RADIANS(C10)</f>
        <v>0.17453292519943295</v>
      </c>
      <c r="E10" s="16">
        <f t="shared" si="1"/>
        <v>6.9813170079773182E-2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G2" sqref="G2"/>
    </sheetView>
  </sheetViews>
  <sheetFormatPr defaultRowHeight="14.25"/>
  <cols>
    <col min="1" max="1" width="11.86328125" bestFit="1" customWidth="1"/>
    <col min="2" max="2" width="9.06640625" bestFit="1" customWidth="1"/>
    <col min="3" max="3" width="3.86328125" bestFit="1"/>
    <col min="4" max="4" width="12.265625" bestFit="1" customWidth="1"/>
    <col min="5" max="5" width="11.1328125" bestFit="1"/>
    <col min="6" max="6" width="13.3984375" bestFit="1"/>
    <col min="7" max="7" width="9.86328125" bestFit="1"/>
    <col min="8" max="8" width="14.1328125" customWidth="1"/>
  </cols>
  <sheetData>
    <row r="1" spans="1:8">
      <c r="A1" s="2" t="s">
        <v>13</v>
      </c>
      <c r="B1" s="6" t="s">
        <v>19</v>
      </c>
      <c r="C1" s="7" t="s">
        <v>20</v>
      </c>
      <c r="D1" s="2" t="s">
        <v>21</v>
      </c>
      <c r="E1" s="6" t="s">
        <v>16</v>
      </c>
      <c r="F1" s="1" t="s">
        <v>1</v>
      </c>
      <c r="G1" s="1" t="s">
        <v>2</v>
      </c>
    </row>
    <row r="2" spans="1:8">
      <c r="A2">
        <v>6000</v>
      </c>
      <c r="B2">
        <v>10</v>
      </c>
      <c r="C2">
        <v>70</v>
      </c>
      <c r="D2" s="16">
        <f t="shared" ref="D2:D10" si="0">RADIANS(C2)</f>
        <v>1.2217304763960306</v>
      </c>
      <c r="E2" s="16">
        <f t="shared" ref="E2:E10" si="1">RADIANS(4)</f>
        <v>6.9813170079773182E-2</v>
      </c>
      <c r="F2">
        <v>3.9E-2</v>
      </c>
      <c r="G2" s="15">
        <f>F2/2</f>
        <v>1.95E-2</v>
      </c>
    </row>
    <row r="3" spans="1:8">
      <c r="A3">
        <v>5500</v>
      </c>
      <c r="B3">
        <v>10</v>
      </c>
      <c r="C3">
        <v>65</v>
      </c>
      <c r="D3" s="16">
        <f t="shared" si="0"/>
        <v>1.1344640137963142</v>
      </c>
      <c r="E3" s="16">
        <f t="shared" si="1"/>
        <v>6.9813170079773182E-2</v>
      </c>
      <c r="F3" s="1" t="s">
        <v>0</v>
      </c>
      <c r="G3" s="1" t="s">
        <v>18</v>
      </c>
    </row>
    <row r="4" spans="1:8">
      <c r="A4">
        <v>5000</v>
      </c>
      <c r="B4">
        <v>10</v>
      </c>
      <c r="C4">
        <v>61</v>
      </c>
      <c r="D4" s="16">
        <f t="shared" si="0"/>
        <v>1.064650843716541</v>
      </c>
      <c r="E4" s="16">
        <f t="shared" si="1"/>
        <v>6.9813170079773182E-2</v>
      </c>
      <c r="F4">
        <f>F2+0.08</f>
        <v>0.11899999999999999</v>
      </c>
      <c r="G4">
        <v>1E-3</v>
      </c>
    </row>
    <row r="5" spans="1:8">
      <c r="A5">
        <v>4500</v>
      </c>
      <c r="B5">
        <v>10</v>
      </c>
      <c r="C5">
        <v>59</v>
      </c>
      <c r="D5" s="16">
        <f t="shared" si="0"/>
        <v>1.0297442586766545</v>
      </c>
      <c r="E5" s="16">
        <f t="shared" si="1"/>
        <v>6.9813170079773182E-2</v>
      </c>
      <c r="F5" s="8" t="s">
        <v>22</v>
      </c>
    </row>
    <row r="6" spans="1:8">
      <c r="A6">
        <v>4000</v>
      </c>
      <c r="B6">
        <v>10</v>
      </c>
      <c r="C6">
        <v>52</v>
      </c>
      <c r="D6" s="16">
        <f t="shared" si="0"/>
        <v>0.90757121103705141</v>
      </c>
      <c r="E6" s="16">
        <f t="shared" si="1"/>
        <v>6.9813170079773182E-2</v>
      </c>
      <c r="F6">
        <v>6000</v>
      </c>
    </row>
    <row r="7" spans="1:8">
      <c r="A7">
        <v>3500</v>
      </c>
      <c r="B7">
        <v>10</v>
      </c>
      <c r="C7">
        <v>43</v>
      </c>
      <c r="D7" s="16">
        <f t="shared" si="0"/>
        <v>0.75049157835756175</v>
      </c>
      <c r="E7" s="16">
        <f t="shared" si="1"/>
        <v>6.9813170079773182E-2</v>
      </c>
    </row>
    <row r="8" spans="1:8">
      <c r="A8">
        <v>3000</v>
      </c>
      <c r="B8">
        <v>10</v>
      </c>
      <c r="C8">
        <v>39</v>
      </c>
      <c r="D8" s="16">
        <f t="shared" si="0"/>
        <v>0.68067840827778847</v>
      </c>
      <c r="E8" s="16">
        <f t="shared" si="1"/>
        <v>6.9813170079773182E-2</v>
      </c>
    </row>
    <row r="9" spans="1:8">
      <c r="A9">
        <v>2500</v>
      </c>
      <c r="B9">
        <v>10</v>
      </c>
      <c r="C9">
        <v>35</v>
      </c>
      <c r="D9" s="16">
        <f t="shared" si="0"/>
        <v>0.6108652381980153</v>
      </c>
      <c r="E9" s="16">
        <f t="shared" si="1"/>
        <v>6.9813170079773182E-2</v>
      </c>
    </row>
    <row r="10" spans="1:8">
      <c r="A10">
        <v>2000</v>
      </c>
      <c r="B10">
        <v>10</v>
      </c>
      <c r="C10">
        <v>28</v>
      </c>
      <c r="D10" s="16">
        <f t="shared" si="0"/>
        <v>0.48869219055841229</v>
      </c>
      <c r="E10" s="16">
        <f t="shared" si="1"/>
        <v>6.9813170079773182E-2</v>
      </c>
    </row>
    <row r="13" spans="1:8">
      <c r="H13" s="5"/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>
      <selection activeCell="C18" sqref="C18"/>
    </sheetView>
  </sheetViews>
  <sheetFormatPr defaultRowHeight="14.25"/>
  <cols>
    <col min="1" max="1" width="12.3984375" customWidth="1"/>
    <col min="3" max="3" width="13.59765625" customWidth="1"/>
    <col min="4" max="4" width="12.265625" customWidth="1"/>
    <col min="5" max="6" width="11.73046875" bestFit="1"/>
  </cols>
  <sheetData>
    <row r="1" spans="1:5">
      <c r="A1" s="2" t="s">
        <v>23</v>
      </c>
      <c r="B1" s="7" t="s">
        <v>20</v>
      </c>
      <c r="C1" s="2" t="s">
        <v>21</v>
      </c>
      <c r="D1" s="6" t="s">
        <v>16</v>
      </c>
      <c r="E1" s="1" t="s">
        <v>24</v>
      </c>
    </row>
    <row r="2" spans="1:5">
      <c r="A2">
        <f>2*10^(-5)</f>
        <v>2.0000000000000002E-5</v>
      </c>
      <c r="B2">
        <v>136</v>
      </c>
      <c r="C2" s="16">
        <f>RADIANS(B2)</f>
        <v>2.3736477827122884</v>
      </c>
      <c r="D2" s="16">
        <f>RADIANS(4)</f>
        <v>6.9813170079773182E-2</v>
      </c>
    </row>
    <row r="3" spans="1:5">
      <c r="A3">
        <v>4.0000000000000003E-5</v>
      </c>
      <c r="B3">
        <v>282</v>
      </c>
      <c r="C3" s="16">
        <f>RADIANS(B3)</f>
        <v>4.9218284906240095</v>
      </c>
      <c r="D3" s="16">
        <f>RADIANS(4)</f>
        <v>6.9813170079773182E-2</v>
      </c>
    </row>
    <row r="4" spans="1:5">
      <c r="A4">
        <v>5.0000000000000002E-5</v>
      </c>
      <c r="B4">
        <v>355</v>
      </c>
      <c r="C4" s="16">
        <f>RADIANS(B4)</f>
        <v>6.1959188445798699</v>
      </c>
      <c r="D4" s="16">
        <f>RADIANS(4)</f>
        <v>6.9813170079773182E-2</v>
      </c>
    </row>
    <row r="5" spans="1:5">
      <c r="A5">
        <v>6.9999999999999994E-5</v>
      </c>
      <c r="B5">
        <v>500</v>
      </c>
      <c r="C5" s="16">
        <f>RADIANS(B5)</f>
        <v>8.7266462599716483</v>
      </c>
      <c r="D5" s="16">
        <f>RADIANS(4)</f>
        <v>6.9813170079773182E-2</v>
      </c>
    </row>
    <row r="6" spans="1:5">
      <c r="A6">
        <v>9.0000000000000006E-5</v>
      </c>
      <c r="B6" s="9">
        <v>645</v>
      </c>
      <c r="C6" s="16">
        <f>RADIANS(B6)</f>
        <v>11.257373675363425</v>
      </c>
      <c r="D6" s="16">
        <f>RADIANS(4)</f>
        <v>6.9813170079773182E-2</v>
      </c>
    </row>
  </sheetData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A9BFD7-2E1C-4854-B9F1-9F7D64E3C3D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1A080D2-B925-49F5-BA27-77421BA67D98}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828C690C-68D1-4736-AD79-B68A54EE0DA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2AB6DCA-E748-4216-A6E0-431FBD4F087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>3</cp:revision>
  <dcterms:created xsi:type="dcterms:W3CDTF">2026-04-28T05:59:56Z</dcterms:created>
  <dcterms:modified xsi:type="dcterms:W3CDTF">2026-05-21T05:58:43Z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