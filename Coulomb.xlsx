
<file path=[Content_Types].xml><?xml version="1.0" encoding="utf-8"?>
<Types xmlns="http://schemas.openxmlformats.org/package/2006/content-types">
  <Default Extension="bin" ContentType="application/vnd.openxmlformats-officedocument.oleObject"/>
  <Default Extension="jpeg" ContentType="image/jpeg"/>
  <Default Extension="rels" ContentType="application/vnd.openxmlformats-package.relationships+xml"/>
  <Default Extension="xml" ContentType="application/xml"/>
  <Default Extension="png" ContentType="image/png"/>
  <Default Extension="wmf" ContentType="image/x-wmf"/>
  <Override PartName="/docProps/app.xml" ContentType="application/vnd.openxmlformats-officedocument.extended-properties+xml"/>
  <Override PartName="/customXml/itemProps4.xml" ContentType="application/vnd.openxmlformats-officedocument.customXmlProperties+xml"/>
  <Override PartName="/docProps/custom.xml" ContentType="application/vnd.openxmlformats-officedocument.custom-properties+xml"/>
  <Override PartName="/docProps/core.xml" ContentType="application/vnd.openxmlformats-package.core-properties+xml"/>
  <Override PartName="/xl/workbook.xml" ContentType="application/vnd.openxmlformats-officedocument.spreadsheetml.sheet.main+xml"/>
  <Override PartName="/xl/styles.xml" ContentType="application/vnd.openxmlformats-officedocument.spreadsheetml.styles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xl/sharedStrings.xml" ContentType="application/vnd.openxmlformats-officedocument.spreadsheetml.sharedStrings+xml"/>
  <Override PartName="/customXml/itemProps3.xml" ContentType="application/vnd.openxmlformats-officedocument.customXml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</Types>
</file>

<file path=_rels/.rels><?xml version="1.0" encoding="UTF-8" standalone="yes"?><Relationships xmlns="http://schemas.openxmlformats.org/package/2006/relationships"><Relationship  Id="rId1" Type="http://schemas.openxmlformats.org/officeDocument/2006/relationships/extended-properties" Target="docProps/app.xml"/><Relationship  Id="rId2" Type="http://schemas.openxmlformats.org/package/2006/relationships/metadata/core-properties" Target="docProps/core.xml"/><Relationship  Id="rId3" Type="http://schemas.openxmlformats.org/officeDocument/2006/relationships/custom-properties" Target="docProps/custom.xml"/><Relationship  Id="rId4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4="http://schemas.microsoft.com/office/spreadsheetml/2009/9/main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workbookPr/>
  <bookViews>
    <workbookView xWindow="360" yWindow="15" windowWidth="20955" windowHeight="9720" activeTab="2"/>
  </bookViews>
  <sheets>
    <sheet name="Angolo" sheetId="1" state="visible" r:id="rId5"/>
    <sheet name="Potenziale uguale" sheetId="2" state="visible" r:id="rId6"/>
    <sheet name="Potenziale diverso" sheetId="3" state="visible" r:id="rId7"/>
    <sheet name="Costante di torsione" sheetId="4" state="visible" r:id="rId8"/>
  </sheets>
  <calcPr/>
  <extLst>
    <ext xmlns:x15="http://schemas.microsoft.com/office/spreadsheetml/2010/11/main" uri="{D0CA8CA8-9F24-4464-BF8E-62219DCF47F9}"/>
  </extLst>
</workbook>
</file>

<file path=xl/sharedStrings.xml><?xml version="1.0" encoding="utf-8"?>
<sst xmlns="http://schemas.openxmlformats.org/spreadsheetml/2006/main" count="24" uniqueCount="24">
  <si>
    <t xml:space="preserve">r [m]</t>
  </si>
  <si>
    <t xml:space="preserve">d [m]</t>
  </si>
  <si>
    <t xml:space="preserve">a [m]</t>
  </si>
  <si>
    <t xml:space="preserve">errore a [m]</t>
  </si>
  <si>
    <t xml:space="preserve">θ (°)</t>
  </si>
  <si>
    <t xml:space="preserve">Media (°)</t>
  </si>
  <si>
    <t xml:space="preserve">Media (rad)</t>
  </si>
  <si>
    <t xml:space="preserve">Dev.std (°)</t>
  </si>
  <si>
    <t xml:space="preserve">Dev.std (rad)</t>
  </si>
  <si>
    <t xml:space="preserve">Err.Media (°)</t>
  </si>
  <si>
    <t xml:space="preserve">Err.Media (rad)</t>
  </si>
  <si>
    <r>
      <rPr>
        <sz val="11"/>
        <color theme="1"/>
        <rFont val="Aptos Narrow"/>
        <scheme val="minor"/>
      </rPr>
      <t>r</t>
    </r>
    <r>
      <rPr>
        <vertAlign val="subscript"/>
        <sz val="11"/>
        <color theme="1"/>
        <rFont val="Aptos Narrow"/>
        <scheme val="minor"/>
      </rPr>
      <t>eff</t>
    </r>
  </si>
  <si>
    <t xml:space="preserve">Errore r</t>
  </si>
  <si>
    <t xml:space="preserve">Potenziale [V]</t>
  </si>
  <si>
    <t xml:space="preserve">Err.Pot [V] </t>
  </si>
  <si>
    <t xml:space="preserve">θ (rad)</t>
  </si>
  <si>
    <t xml:space="preserve">Err.θ [rad]</t>
  </si>
  <si>
    <t xml:space="preserve">                                                                                                       </t>
  </si>
  <si>
    <t xml:space="preserve">Err.Pot [V]</t>
  </si>
  <si>
    <t xml:space="preserve">θ [°]</t>
  </si>
  <si>
    <t xml:space="preserve">θ [rad]</t>
  </si>
  <si>
    <t xml:space="preserve">Potenziale fisso</t>
  </si>
  <si>
    <t xml:space="preserve">Massa (kg)</t>
  </si>
  <si>
    <t xml:space="preserve">b=118,15 mm</t>
  </si>
</sst>
</file>

<file path=xl/styles.xml><?xml version="1.0" encoding="utf-8"?>
<styleSheet xmlns="http://schemas.openxmlformats.org/spreadsheetml/2006/main" xmlns:mc="http://schemas.openxmlformats.org/markup-compatibility/2006" xmlns:x14="http://schemas.microsoft.com/office/spreadsheetml/2009/9/main" xmlns:x14ac="http://schemas.microsoft.com/office/spreadsheetml/2009/9/ac" xmlns:x16r2="http://schemas.microsoft.com/office/spreadsheetml/2015/02/main" mc:Ignorable="x14ac x16r2">
  <fonts count="3">
    <font>
      <sz val="11.000000"/>
      <color theme="1"/>
      <name val="Aptos Narrow"/>
      <scheme val="minor"/>
    </font>
    <font>
      <u/>
      <sz val="11.000000"/>
      <color theme="1"/>
      <name val="Aptos Narrow"/>
      <scheme val="minor"/>
    </font>
    <font>
      <sz val="11.000000"/>
      <name val="Aptos Narrow"/>
    </font>
  </fonts>
  <fills count="7">
    <fill>
      <patternFill patternType="none"/>
    </fill>
    <fill>
      <patternFill patternType="gray125"/>
    </fill>
    <fill>
      <patternFill patternType="solid">
        <fgColor theme="9" tint="-0.249977111117893"/>
        <bgColor theme="9" tint="-0.249977111117893"/>
      </patternFill>
    </fill>
    <fill>
      <patternFill patternType="solid">
        <fgColor theme="5"/>
      </patternFill>
    </fill>
    <fill>
      <patternFill patternType="solid">
        <fgColor theme="4" tint="0"/>
        <bgColor theme="4" tint="0"/>
      </patternFill>
    </fill>
    <fill>
      <patternFill patternType="solid">
        <fgColor theme="5" tint="0"/>
        <bgColor theme="5" tint="0"/>
      </patternFill>
    </fill>
    <fill>
      <patternFill patternType="solid">
        <fgColor indexed="5"/>
      </patternFill>
    </fill>
  </fills>
  <borders count="4">
    <border>
      <left style="none"/>
      <right style="none"/>
      <top style="none"/>
      <bottom style="none"/>
      <diagonal style="none"/>
    </border>
    <border>
      <left style="thin">
        <color theme="1"/>
      </left>
      <right style="thin">
        <color theme="1"/>
      </right>
      <top style="thin">
        <color theme="1"/>
      </top>
      <bottom style="none"/>
      <diagonal style="none"/>
    </border>
    <border>
      <left style="thin">
        <color theme="1"/>
      </left>
      <right style="thin">
        <color theme="1"/>
      </right>
      <top style="none"/>
      <bottom style="none"/>
      <diagonal style="none"/>
    </border>
    <border>
      <left style="thin">
        <color theme="1"/>
      </left>
      <right style="thin">
        <color theme="1"/>
      </right>
      <top style="none"/>
      <bottom style="thin">
        <color theme="1"/>
      </bottom>
      <diagonal style="none"/>
    </border>
  </borders>
  <cellStyleXfs count="1">
    <xf fontId="0" fillId="0" borderId="0" numFmtId="0" applyNumberFormat="1" applyFont="1" applyFill="1" applyBorder="1"/>
  </cellStyleXfs>
  <cellXfs count="18">
    <xf fontId="0" fillId="0" borderId="0" numFmtId="0" xfId="0"/>
    <xf fontId="0" fillId="2" borderId="0" numFmtId="0" xfId="0" applyFill="1" applyAlignment="1">
      <alignment horizontal="center"/>
    </xf>
    <xf fontId="0" fillId="2" borderId="0" numFmtId="0" xfId="0" applyFill="1"/>
    <xf fontId="0" fillId="3" borderId="0" numFmtId="0" xfId="0" applyFill="1"/>
    <xf fontId="0" fillId="3" borderId="0" numFmtId="2" xfId="0" applyNumberFormat="1" applyFill="1"/>
    <xf fontId="0" fillId="4" borderId="1" numFmtId="0" xfId="0" applyFill="1" applyBorder="1" applyAlignment="1">
      <alignment horizontal="center" vertical="center"/>
    </xf>
    <xf fontId="0" fillId="4" borderId="2" numFmtId="0" xfId="0" applyFill="1" applyBorder="1" applyAlignment="1">
      <alignment horizontal="center" vertical="center"/>
    </xf>
    <xf fontId="0" fillId="4" borderId="3" numFmtId="0" xfId="0" applyFill="1" applyBorder="1" applyAlignment="1">
      <alignment horizontal="center" vertical="center"/>
    </xf>
    <xf fontId="0" fillId="4" borderId="0" numFmtId="0" xfId="0" applyFill="1"/>
    <xf fontId="1" fillId="0" borderId="0" numFmtId="0" xfId="0" applyFont="1"/>
    <xf fontId="0" fillId="0" borderId="0" numFmtId="0" xfId="0"/>
    <xf fontId="0" fillId="5" borderId="0" numFmtId="0" xfId="0" applyFill="1"/>
    <xf fontId="0" fillId="3" borderId="0" numFmtId="0" xfId="0" applyFill="1" applyAlignment="1">
      <alignment vertical="center"/>
    </xf>
    <xf fontId="0" fillId="0" borderId="0" numFmtId="0" xfId="0">
      <protection hidden="0" locked="1"/>
    </xf>
    <xf fontId="0" fillId="3" borderId="0" numFmtId="0" xfId="0" applyFill="1"/>
    <xf fontId="0" fillId="3" borderId="0" numFmtId="0" xfId="0" applyFill="1" applyAlignment="1">
      <alignment vertical="center"/>
    </xf>
    <xf fontId="2" fillId="6" borderId="0" numFmtId="0" xfId="0" applyFont="1" applyFill="1"/>
    <xf fontId="2" fillId="0" borderId="0" numFmtId="0" xfId="0" applyFont="1"/>
  </cellXfs>
  <cellStyles count="1">
    <cellStyle name="Normale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<Relationships xmlns="http://schemas.openxmlformats.org/package/2006/relationships"><Relationship  Id="rId1" Type="http://schemas.openxmlformats.org/officeDocument/2006/relationships/customXml" Target="../customXml/item1.xml"/><Relationship  Id="rId10" Type="http://schemas.openxmlformats.org/officeDocument/2006/relationships/sharedStrings" Target="sharedStrings.xml"/><Relationship  Id="rId11" Type="http://schemas.openxmlformats.org/officeDocument/2006/relationships/styles" Target="styles.xml"/><Relationship  Id="rId2" Type="http://schemas.openxmlformats.org/officeDocument/2006/relationships/customXml" Target="../customXml/item2.xml"/><Relationship  Id="rId3" Type="http://schemas.openxmlformats.org/officeDocument/2006/relationships/customXml" Target="../customXml/item3.xml"/><Relationship  Id="rId4" Type="http://schemas.openxmlformats.org/officeDocument/2006/relationships/customXml" Target="../customXml/item4.xml"/><Relationship  Id="rId5" Type="http://schemas.openxmlformats.org/officeDocument/2006/relationships/worksheet" Target="worksheets/sheet1.xml"/><Relationship  Id="rId6" Type="http://schemas.openxmlformats.org/officeDocument/2006/relationships/worksheet" Target="worksheets/sheet2.xml"/><Relationship  Id="rId7" Type="http://schemas.openxmlformats.org/officeDocument/2006/relationships/worksheet" Target="worksheets/sheet3.xml"/><Relationship  Id="rId8" Type="http://schemas.openxmlformats.org/officeDocument/2006/relationships/worksheet" Target="worksheets/sheet4.xml"/><Relationship  Id="rId9" Type="http://schemas.openxmlformats.org/officeDocument/2006/relationships/theme" Target="theme/theme1.xml"/></Relationships>
</file>

<file path=xl/theme/theme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Angsana New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明朝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Cordia New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theme/theme1.xml><?xml version="1.0" encoding="utf-8"?>
<a:theme xmlns:a="http://schemas.openxmlformats.org/drawingml/2006/main" xmlns:r="http://schemas.openxmlformats.org/officeDocument/2006/relationships" xmlns:p="http://schemas.openxmlformats.org/presentationml/2006/main" name="Tema di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/>
        <a:ea typeface="Arial"/>
        <a:cs typeface="Arial"/>
      </a:majorFont>
      <a:minorFont>
        <a:latin typeface="Aptos Narrow"/>
        <a:ea typeface="Arial"/>
        <a:cs typeface="Arial"/>
      </a:minorFont>
    </a:fontScheme>
    <a:fmtScheme name="Office">
      <a:fillStyleLst>
        <a:solidFill>
          <a:schemeClr val="phClr"/>
        </a:solidFill>
        <a:gradFill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 bwMode="auto"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">
  <sheetViews>
    <sheetView zoomScale="100" workbookViewId="0">
      <selection activeCell="F23" activeCellId="0" sqref="F23"/>
    </sheetView>
  </sheetViews>
  <sheetFormatPr defaultRowHeight="14.25"/>
  <cols>
    <col bestFit="1" customWidth="1" min="1" max="1" width="12.703125"/>
    <col bestFit="1" customWidth="1" min="2" max="2" width="11.125"/>
    <col bestFit="1" min="3" max="3" width="11.125"/>
    <col bestFit="1" customWidth="1" min="4" max="4" width="11.125"/>
    <col bestFit="1" min="5" max="5" width="11.125"/>
    <col bestFit="1" customWidth="1" min="6" max="6" width="11.125"/>
    <col bestFit="1" min="7" max="7" width="11.125"/>
    <col bestFit="1" customWidth="1" min="8" max="8" width="7.125"/>
    <col bestFit="1" customWidth="1" min="9" max="9" width="8.125"/>
    <col bestFit="1" customWidth="1" min="10" max="10" width="9.875"/>
  </cols>
  <sheetData>
    <row r="1">
      <c r="B1" s="1" t="s">
        <v>0</v>
      </c>
      <c r="C1" s="1"/>
      <c r="D1" s="1"/>
      <c r="E1" s="1"/>
      <c r="F1" s="1"/>
      <c r="G1" s="1"/>
      <c r="H1" s="2" t="s">
        <v>1</v>
      </c>
      <c r="I1" s="2" t="s">
        <v>2</v>
      </c>
      <c r="J1" s="2" t="s">
        <v>3</v>
      </c>
    </row>
    <row r="2">
      <c r="B2" s="3">
        <v>5.9999999999999998e-002</v>
      </c>
      <c r="C2" s="3">
        <v>8.0000000000000002e-002</v>
      </c>
      <c r="D2" s="4">
        <v>0.10000000000000001</v>
      </c>
      <c r="E2" s="3">
        <v>0.14999999999999999</v>
      </c>
      <c r="F2" s="3">
        <v>0.17999999999999999</v>
      </c>
      <c r="G2" s="3">
        <v>0.20000000000000001</v>
      </c>
      <c r="H2">
        <v>3.9050000000000001e-002</v>
      </c>
      <c r="I2">
        <f>H2/2</f>
        <v>1.9525000000000001e-002</v>
      </c>
      <c r="J2">
        <v>1.e-003</v>
      </c>
    </row>
    <row r="3">
      <c r="A3" s="5" t="s">
        <v>4</v>
      </c>
      <c r="B3">
        <v>96</v>
      </c>
      <c r="C3">
        <v>68</v>
      </c>
      <c r="D3">
        <v>48</v>
      </c>
      <c r="E3">
        <v>28</v>
      </c>
      <c r="F3">
        <v>18</v>
      </c>
      <c r="G3">
        <v>14</v>
      </c>
    </row>
    <row r="4">
      <c r="A4" s="6"/>
      <c r="B4">
        <v>99</v>
      </c>
      <c r="C4">
        <v>65</v>
      </c>
      <c r="D4">
        <v>48</v>
      </c>
      <c r="E4">
        <v>29</v>
      </c>
      <c r="F4">
        <v>19</v>
      </c>
      <c r="G4">
        <v>15</v>
      </c>
    </row>
    <row r="5">
      <c r="A5" s="7"/>
      <c r="B5">
        <v>98</v>
      </c>
      <c r="C5">
        <v>68</v>
      </c>
      <c r="D5">
        <v>49</v>
      </c>
      <c r="E5">
        <v>28</v>
      </c>
      <c r="F5">
        <v>19</v>
      </c>
      <c r="G5">
        <v>14</v>
      </c>
    </row>
    <row r="7" ht="14.25">
      <c r="A7" s="8" t="s">
        <v>5</v>
      </c>
      <c r="B7">
        <f>AVERAGE(B3:B5)</f>
        <v>97.666666666666671</v>
      </c>
      <c r="C7">
        <f>AVERAGE(C3:C5)</f>
        <v>67</v>
      </c>
      <c r="D7">
        <f>AVERAGE(D3:D5)</f>
        <v>48.333333333333336</v>
      </c>
      <c r="E7">
        <f>AVERAGE(E3:E5)</f>
        <v>28.333333333333332</v>
      </c>
      <c r="F7">
        <f>AVERAGE(F3:F5)</f>
        <v>18.666666666666668</v>
      </c>
      <c r="G7">
        <f>AVERAGE(G3:G5)</f>
        <v>14.333333333333334</v>
      </c>
    </row>
    <row r="8">
      <c r="A8" s="8" t="s">
        <v>6</v>
      </c>
      <c r="B8">
        <f>RADIANS(B7)</f>
        <v>1.7046049027811285</v>
      </c>
      <c r="C8">
        <f>RADIANS(C7)</f>
        <v>1.1693705988362006</v>
      </c>
      <c r="D8">
        <f>RADIANS(D7)</f>
        <v>0.8435758051305926</v>
      </c>
      <c r="E8">
        <f>RADIANS(E7)</f>
        <v>0.49450995473172665</v>
      </c>
      <c r="F8">
        <f>RADIANS(F7)</f>
        <v>0.32579479370560821</v>
      </c>
      <c r="G8">
        <f>RADIANS(G7)</f>
        <v>0.25016385945252056</v>
      </c>
    </row>
    <row r="9">
      <c r="A9" s="8" t="s">
        <v>7</v>
      </c>
      <c r="B9">
        <f>_xlfn.STDEV.S(B3:B5)</f>
        <v>1.5275252316519468</v>
      </c>
      <c r="C9">
        <f>_xlfn.STDEV.S(C3:C5)</f>
        <v>1.7320508075688772</v>
      </c>
      <c r="D9">
        <f>_xlfn.STDEV.S(D3:D5)</f>
        <v>0.57735026918962584</v>
      </c>
      <c r="E9">
        <f>_xlfn.STDEV.S(E3:E5)</f>
        <v>0.57735026918962584</v>
      </c>
      <c r="F9">
        <f>_xlfn.STDEV.S(F3:F5)</f>
        <v>0.57735026918962584</v>
      </c>
      <c r="G9">
        <f>_xlfn.STDEV.S(G3:G5)</f>
        <v>0.57735026918962573</v>
      </c>
    </row>
    <row r="10">
      <c r="A10" s="8" t="s">
        <v>8</v>
      </c>
      <c r="B10">
        <f>RADIANS(B9)</f>
        <v>2.6660344699615573e-002</v>
      </c>
      <c r="C10">
        <f>RADIANS(C9)</f>
        <v>3.0229989403903628e-002</v>
      </c>
      <c r="D10">
        <f>RADIANS(D9)</f>
        <v>1.0076663134634544e-002</v>
      </c>
      <c r="E10">
        <f>RADIANS(E9)</f>
        <v>1.0076663134634544e-002</v>
      </c>
      <c r="F10">
        <f>RADIANS(F9)</f>
        <v>1.0076663134634544e-002</v>
      </c>
      <c r="G10">
        <f>RADIANS(G9)</f>
        <v>1.0076663134634543e-002</v>
      </c>
      <c r="H10" s="9"/>
    </row>
    <row r="11">
      <c r="A11" s="8" t="s">
        <v>9</v>
      </c>
      <c r="B11">
        <v>4</v>
      </c>
      <c r="C11">
        <v>4</v>
      </c>
      <c r="D11">
        <v>3.5</v>
      </c>
      <c r="E11">
        <v>3</v>
      </c>
      <c r="F11">
        <v>3</v>
      </c>
      <c r="G11">
        <v>3</v>
      </c>
    </row>
    <row r="12">
      <c r="A12" s="8" t="s">
        <v>10</v>
      </c>
      <c r="B12">
        <f>RADIANS(B11)</f>
        <v>6.9813170079773182e-002</v>
      </c>
      <c r="C12">
        <f>RADIANS(C11)</f>
        <v>6.9813170079773182e-002</v>
      </c>
      <c r="D12">
        <f>RADIANS(D11)</f>
        <v>6.1086523819801536e-002</v>
      </c>
      <c r="E12">
        <f>RADIANS(E11)</f>
        <v>5.2359877559829883e-002</v>
      </c>
      <c r="F12">
        <f>RADIANS(F11)</f>
        <v>5.2359877559829883e-002</v>
      </c>
      <c r="G12">
        <f>RADIANS(G11)</f>
        <v>5.2359877559829883e-002</v>
      </c>
    </row>
    <row r="14" ht="14.25">
      <c r="A14" s="8" t="s">
        <v>11</v>
      </c>
      <c r="B14">
        <f>B2+$H$2</f>
        <v>9.9049999999999999e-002</v>
      </c>
      <c r="C14">
        <f>C2+$H$2</f>
        <v>0.11905</v>
      </c>
      <c r="D14">
        <f>D2+$H$2</f>
        <v>0.13905000000000001</v>
      </c>
      <c r="E14">
        <f>E2+$H$2</f>
        <v>0.18905</v>
      </c>
      <c r="F14">
        <f>F2+$H$2</f>
        <v>0.21904999999999999</v>
      </c>
      <c r="G14">
        <f>G2+$H$2</f>
        <v>0.23905000000000001</v>
      </c>
    </row>
    <row r="15" ht="14.25">
      <c r="A15" s="8" t="s">
        <v>12</v>
      </c>
      <c r="B15">
        <v>1.e-003</v>
      </c>
      <c r="C15">
        <v>1.e-003</v>
      </c>
      <c r="D15">
        <v>1.e-003</v>
      </c>
      <c r="E15" s="10">
        <v>1.e-003</v>
      </c>
      <c r="F15" s="10">
        <v>1.e-003</v>
      </c>
      <c r="G15" s="10">
        <v>1.e-003</v>
      </c>
    </row>
  </sheetData>
  <mergeCells count="2">
    <mergeCell ref="B1:G1"/>
    <mergeCell ref="A3:A5"/>
  </mergeCells>
  <printOptions headings="0" gridLines="0"/>
  <pageMargins left="0.69999999999999996" right="0.69999999999999996" top="0.75" bottom="0.75" header="0.29999999999999999" footer="0.29999999999999999"/>
  <pageSetup paperSize="9" scale="100" fitToWidth="1" fitToHeight="1" pageOrder="downThenOver" orientation="portrait" usePrinterDefaults="1" blackAndWhite="0" draft="0" cellComments="none" useFirstPageNumber="0" errors="displayed" horizontalDpi="600" verticalDpi="600" copies="1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">
  <sheetViews>
    <sheetView zoomScale="100" workbookViewId="0">
      <selection activeCell="B13" activeCellId="0" sqref="B13"/>
    </sheetView>
  </sheetViews>
  <sheetFormatPr defaultRowHeight="14.25"/>
  <cols>
    <col customWidth="1" min="1" max="1" width="14.2578125"/>
    <col bestFit="1" min="2" max="2" width="9.54296875"/>
    <col bestFit="1" min="4" max="4" width="11.125"/>
    <col bestFit="1" min="5" max="5" width="9.54296875"/>
    <col bestFit="1" min="6" max="6" width="7.125"/>
    <col customWidth="1" min="12" max="12" width="13.85546875"/>
  </cols>
  <sheetData>
    <row r="1">
      <c r="A1" s="3" t="s">
        <v>13</v>
      </c>
      <c r="B1" s="11" t="s">
        <v>14</v>
      </c>
      <c r="C1" s="12" t="s">
        <v>4</v>
      </c>
      <c r="D1" s="3" t="s">
        <v>15</v>
      </c>
      <c r="E1" s="11" t="s">
        <v>16</v>
      </c>
      <c r="F1" s="2" t="s">
        <v>1</v>
      </c>
      <c r="G1" s="2" t="s">
        <v>2</v>
      </c>
    </row>
    <row r="2">
      <c r="A2">
        <v>6000</v>
      </c>
      <c r="B2">
        <v>10</v>
      </c>
      <c r="C2">
        <v>70</v>
      </c>
      <c r="D2">
        <f t="shared" ref="D2:D9" si="0">RADIANS(C2)</f>
        <v>1.2217304763960306</v>
      </c>
      <c r="E2" s="13">
        <v>5.2359877999999999e-002</v>
      </c>
      <c r="F2" s="13">
        <v>3.9050000000000001e-002</v>
      </c>
      <c r="G2" s="13">
        <f>F2/2</f>
        <v>1.9525000000000001e-002</v>
      </c>
      <c r="N2" t="s">
        <v>17</v>
      </c>
    </row>
    <row r="3">
      <c r="A3">
        <v>5500</v>
      </c>
      <c r="B3">
        <v>10</v>
      </c>
      <c r="C3">
        <v>62</v>
      </c>
      <c r="D3">
        <f t="shared" si="0"/>
        <v>1.0821041362364843</v>
      </c>
      <c r="E3" s="13">
        <v>5.2359877999999999e-002</v>
      </c>
      <c r="F3" s="2" t="s">
        <v>0</v>
      </c>
      <c r="G3" s="2" t="s">
        <v>3</v>
      </c>
    </row>
    <row r="4">
      <c r="A4">
        <v>5000</v>
      </c>
      <c r="B4">
        <v>10</v>
      </c>
      <c r="C4">
        <v>48</v>
      </c>
      <c r="D4">
        <f t="shared" si="0"/>
        <v>0.83775804095727813</v>
      </c>
      <c r="E4" s="13">
        <v>5.2359877999999999e-002</v>
      </c>
      <c r="F4">
        <f>F2+0.07</f>
        <v>0.10905000000000001</v>
      </c>
      <c r="G4" s="13">
        <v>1.e-003</v>
      </c>
    </row>
    <row r="5">
      <c r="A5">
        <v>4500</v>
      </c>
      <c r="B5">
        <v>10</v>
      </c>
      <c r="C5">
        <v>41</v>
      </c>
      <c r="D5">
        <f t="shared" si="0"/>
        <v>0.715584993317675</v>
      </c>
      <c r="E5" s="13">
        <v>5.2359877999999999e-002</v>
      </c>
    </row>
    <row r="6">
      <c r="A6">
        <v>4000</v>
      </c>
      <c r="B6">
        <v>10</v>
      </c>
      <c r="C6">
        <v>35</v>
      </c>
      <c r="D6">
        <f t="shared" si="0"/>
        <v>0.6108652381980153</v>
      </c>
      <c r="E6" s="13">
        <v>5.2359877999999999e-002</v>
      </c>
    </row>
    <row r="7">
      <c r="A7">
        <v>3500</v>
      </c>
      <c r="B7">
        <v>10</v>
      </c>
      <c r="C7">
        <v>23</v>
      </c>
      <c r="D7">
        <f t="shared" si="0"/>
        <v>0.40142572795869574</v>
      </c>
      <c r="E7" s="13">
        <v>5.2359877999999999e-002</v>
      </c>
    </row>
    <row r="8">
      <c r="A8">
        <v>3000</v>
      </c>
      <c r="B8">
        <v>10</v>
      </c>
      <c r="C8">
        <v>20</v>
      </c>
      <c r="D8">
        <f t="shared" si="0"/>
        <v>0.3490658503988659</v>
      </c>
      <c r="E8" s="13">
        <v>5.2359877999999999e-002</v>
      </c>
    </row>
    <row r="9">
      <c r="A9">
        <v>2500</v>
      </c>
      <c r="B9">
        <v>10</v>
      </c>
      <c r="C9">
        <v>14</v>
      </c>
      <c r="D9">
        <f t="shared" si="0"/>
        <v>0.24434609527920614</v>
      </c>
      <c r="E9" s="13">
        <v>5.2359877999999999e-002</v>
      </c>
    </row>
    <row r="10">
      <c r="A10">
        <v>2000</v>
      </c>
      <c r="B10">
        <v>10</v>
      </c>
      <c r="C10">
        <v>10</v>
      </c>
      <c r="D10">
        <f>RADIANS(C10)</f>
        <v>0.17453292519943295</v>
      </c>
      <c r="E10" s="13">
        <v>5.2359878000000026e-002</v>
      </c>
    </row>
  </sheetData>
  <printOptions headings="0" gridLines="0"/>
  <pageMargins left="0.69999999999999996" right="0.69999999999999996" top="0.75" bottom="0.75" header="0.29999999999999999" footer="0.29999999999999999"/>
  <pageSetup paperSize="9" scale="100" fitToWidth="1" fitToHeight="1" pageOrder="downThenOver" orientation="portrait" usePrinterDefaults="1" blackAndWhite="0" draft="0" cellComments="none" useFirstPageNumber="0" errors="displayed" horizontalDpi="600" verticalDpi="600" copies="1"/>
  <headerFooter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">
  <sheetViews>
    <sheetView zoomScale="100" workbookViewId="0">
      <selection activeCell="E16" activeCellId="0" sqref="E16"/>
    </sheetView>
  </sheetViews>
  <sheetFormatPr defaultRowHeight="14.25"/>
  <cols>
    <col bestFit="1" customWidth="1" min="1" max="1" width="11.875"/>
    <col bestFit="1" customWidth="1" min="2" max="2" width="9.04296875"/>
    <col bestFit="1" min="3" max="3" width="3.875"/>
    <col bestFit="1" customWidth="1" min="4" max="4" width="11.125"/>
    <col bestFit="1" min="5" max="5" width="11.125"/>
    <col bestFit="1" min="6" max="6" width="13.375"/>
    <col bestFit="1" min="7" max="7" width="9.875"/>
    <col customWidth="1" min="8" max="8" width="14.125"/>
  </cols>
  <sheetData>
    <row r="1">
      <c r="A1" s="14" t="s">
        <v>13</v>
      </c>
      <c r="B1" s="11" t="s">
        <v>18</v>
      </c>
      <c r="C1" s="15" t="s">
        <v>19</v>
      </c>
      <c r="D1" s="14" t="s">
        <v>20</v>
      </c>
      <c r="E1" s="11" t="s">
        <v>16</v>
      </c>
      <c r="F1" s="2" t="s">
        <v>1</v>
      </c>
      <c r="G1" s="2" t="s">
        <v>2</v>
      </c>
    </row>
    <row r="2">
      <c r="A2">
        <v>6000</v>
      </c>
      <c r="B2">
        <v>10</v>
      </c>
      <c r="C2">
        <v>70</v>
      </c>
      <c r="D2">
        <f>RADIANS(C2)</f>
        <v>1.2217304763960306</v>
      </c>
      <c r="E2" s="13">
        <v>5.2359877999999999e-002</v>
      </c>
      <c r="F2" s="13">
        <v>3.9050000000000001e-002</v>
      </c>
      <c r="G2" s="13">
        <f>F2/2</f>
        <v>1.9525000000000001e-002</v>
      </c>
    </row>
    <row r="3">
      <c r="A3">
        <v>5500</v>
      </c>
      <c r="B3">
        <v>10</v>
      </c>
      <c r="C3">
        <v>65</v>
      </c>
      <c r="D3">
        <f>RADIANS(C3)</f>
        <v>1.1344640137963142</v>
      </c>
      <c r="E3" s="13">
        <v>5.2359877999999999e-002</v>
      </c>
      <c r="F3" s="2" t="s">
        <v>0</v>
      </c>
      <c r="G3" s="2" t="s">
        <v>3</v>
      </c>
    </row>
    <row r="4">
      <c r="A4">
        <v>5000</v>
      </c>
      <c r="B4">
        <v>10</v>
      </c>
      <c r="C4">
        <v>61</v>
      </c>
      <c r="D4">
        <f>RADIANS(C4)</f>
        <v>1.064650843716541</v>
      </c>
      <c r="E4" s="13">
        <v>5.2359877999999999e-002</v>
      </c>
      <c r="F4" s="13">
        <f>F2+0.07</f>
        <v>0.10905000000000001</v>
      </c>
      <c r="G4" s="13">
        <v>1.e-003</v>
      </c>
    </row>
    <row r="5">
      <c r="A5">
        <v>4500</v>
      </c>
      <c r="B5">
        <v>10</v>
      </c>
      <c r="C5">
        <v>59</v>
      </c>
      <c r="D5">
        <f>RADIANS(C5)</f>
        <v>1.0297442586766543</v>
      </c>
      <c r="E5" s="13">
        <v>5.2359877999999999e-002</v>
      </c>
      <c r="F5" s="16" t="s">
        <v>21</v>
      </c>
    </row>
    <row r="6">
      <c r="A6">
        <v>4000</v>
      </c>
      <c r="B6">
        <v>10</v>
      </c>
      <c r="C6">
        <v>52</v>
      </c>
      <c r="D6">
        <f>RADIANS(C6)</f>
        <v>0.90757121103705141</v>
      </c>
      <c r="E6" s="13">
        <v>5.2359877999999999e-002</v>
      </c>
      <c r="F6">
        <v>6000</v>
      </c>
    </row>
    <row r="7">
      <c r="A7">
        <v>3500</v>
      </c>
      <c r="B7">
        <v>10</v>
      </c>
      <c r="C7">
        <v>43</v>
      </c>
      <c r="D7">
        <f>RADIANS(C7)</f>
        <v>0.75049157835756164</v>
      </c>
      <c r="E7" s="13">
        <v>5.2359877999999999e-002</v>
      </c>
    </row>
    <row r="8">
      <c r="A8">
        <v>3000</v>
      </c>
      <c r="B8">
        <v>10</v>
      </c>
      <c r="C8">
        <v>39</v>
      </c>
      <c r="D8">
        <f>RADIANS(C8)</f>
        <v>0.68067840827778847</v>
      </c>
      <c r="E8" s="13">
        <v>5.2359877999999999e-002</v>
      </c>
    </row>
    <row r="9">
      <c r="A9">
        <v>2500</v>
      </c>
      <c r="B9">
        <v>10</v>
      </c>
      <c r="C9">
        <v>35</v>
      </c>
      <c r="D9">
        <f>RADIANS(C9)</f>
        <v>0.6108652381980153</v>
      </c>
      <c r="E9" s="13">
        <v>5.2359877999999999e-002</v>
      </c>
    </row>
    <row r="10">
      <c r="A10">
        <v>2000</v>
      </c>
      <c r="B10">
        <v>10</v>
      </c>
      <c r="C10">
        <v>28</v>
      </c>
      <c r="D10">
        <f>RADIANS(C10)</f>
        <v>0.48869219055841229</v>
      </c>
      <c r="E10" s="13">
        <v>5.2359878000000026e-002</v>
      </c>
    </row>
    <row r="13">
      <c r="H13" s="9"/>
    </row>
  </sheetData>
  <printOptions headings="0" gridLines="0"/>
  <pageMargins left="0.69999999999999996" right="0.69999999999999996" top="0.75" bottom="0.75" header="0.29999999999999999" footer="0.29999999999999999"/>
  <pageSetup paperSize="9" scale="100" fitToWidth="1" fitToHeight="1" pageOrder="downThenOver" orientation="portrait" usePrinterDefaults="1" blackAndWhite="0" draft="0" cellComments="none" useFirstPageNumber="0" errors="displayed" horizontalDpi="600" verticalDpi="600" copies="1"/>
  <headerFooter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">
  <sheetViews>
    <sheetView zoomScale="100" workbookViewId="0">
      <selection activeCell="E9" activeCellId="0" sqref="E9"/>
    </sheetView>
  </sheetViews>
  <sheetFormatPr defaultRowHeight="15"/>
  <cols>
    <col customWidth="1" min="1" max="1" width="12.375"/>
    <col customWidth="1" min="3" max="3" width="13.5859375"/>
    <col customWidth="1" min="4" max="4" width="12.23828125"/>
  </cols>
  <sheetData>
    <row r="1">
      <c r="A1" s="3" t="s">
        <v>22</v>
      </c>
      <c r="B1" s="12" t="s">
        <v>4</v>
      </c>
      <c r="C1" s="3" t="s">
        <v>15</v>
      </c>
      <c r="D1" s="3" t="s">
        <v>23</v>
      </c>
    </row>
    <row r="2">
      <c r="A2">
        <f>2*10^(-5)</f>
        <v>2.0000000000000002e-005</v>
      </c>
      <c r="B2">
        <v>136</v>
      </c>
      <c r="C2">
        <f t="shared" ref="C2:C6" si="1">RADIANS(B2)</f>
        <v>2.3736477827122884</v>
      </c>
    </row>
    <row r="3">
      <c r="A3">
        <v>4.0000000000000003e-005</v>
      </c>
      <c r="B3">
        <v>282</v>
      </c>
      <c r="C3">
        <f t="shared" si="1"/>
        <v>4.9218284906240095</v>
      </c>
    </row>
    <row r="4">
      <c r="A4">
        <v>5.0000000000000002e-005</v>
      </c>
      <c r="B4">
        <v>355</v>
      </c>
      <c r="C4">
        <f t="shared" si="1"/>
        <v>6.1959188445798699</v>
      </c>
    </row>
    <row r="5">
      <c r="A5">
        <v>6.9999999999999994e-005</v>
      </c>
      <c r="B5">
        <v>500</v>
      </c>
      <c r="C5">
        <f t="shared" si="1"/>
        <v>8.7266462599716483</v>
      </c>
    </row>
    <row r="6">
      <c r="A6">
        <v>9.0000000000000006e-005</v>
      </c>
      <c r="B6" s="17">
        <v>645</v>
      </c>
      <c r="C6">
        <f t="shared" si="1"/>
        <v>11.257373675363425</v>
      </c>
    </row>
  </sheetData>
  <printOptions headings="0" gridLines="0"/>
  <pageMargins left="0.69999999999999996" right="0.69999999999999996" top="0.75" bottom="0.75" header="0.29999999999999999" footer="0.29999999999999999"/>
  <pageSetup paperSize="9" scale="100" fitToWidth="1" fitToHeight="1" pageOrder="downThenOver" orientation="portrait" usePrinterDefaults="1" blackAndWhite="0" draft="0" cellComments="none" useFirstPageNumber="0" errors="displayed" horizontalDpi="600" verticalDpi="600" copies="1"/>
  <headerFooter/>
</worksheet>
</file>

<file path=customXml/_rels/item1.xml.rels><?xml version="1.0" encoding="UTF-8" standalone="yes"?><Relationships xmlns="http://schemas.openxmlformats.org/package/2006/relationships"><Relationship  Id="rId1" Type="http://schemas.openxmlformats.org/officeDocument/2006/relationships/customXmlProps" Target="itemProps1.xml"/></Relationships>
</file>

<file path=customXml/_rels/item2.xml.rels><?xml version="1.0" encoding="UTF-8" standalone="yes"?><Relationships xmlns="http://schemas.openxmlformats.org/package/2006/relationships"><Relationship  Id="rId1" Type="http://schemas.openxmlformats.org/officeDocument/2006/relationships/customXmlProps" Target="itemProps2.xml"/></Relationships>
</file>

<file path=customXml/_rels/item3.xml.rels><?xml version="1.0" encoding="UTF-8" standalone="yes"?><Relationships xmlns="http://schemas.openxmlformats.org/package/2006/relationships"><Relationship  Id="rId1" Type="http://schemas.openxmlformats.org/officeDocument/2006/relationships/customXmlProps" Target="itemProps3.xml"/></Relationships>
</file>

<file path=customXml/_rels/item4.xml.rels><?xml version="1.0" encoding="UTF-8" standalone="yes"?><Relationships xmlns="http://schemas.openxmlformats.org/package/2006/relationships"><Relationship  Id="rId1" Type="http://schemas.openxmlformats.org/officeDocument/2006/relationships/customXmlProps" Target="itemProps4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346E5DF961F39408DE43B15EF6999B1" ma:contentTypeVersion="11" ma:contentTypeDescription="Creare un nuovo documento." ma:contentTypeScope="" ma:versionID="254c620abb66516fcb15e42ffae33bb8">
  <xsd:schema xmlns:xsd="http://www.w3.org/2001/XMLSchema" xmlns:xs="http://www.w3.org/2001/XMLSchema" xmlns:p="http://schemas.microsoft.com/office/2006/metadata/properties" xmlns:ns3="d72476d7-13f4-49c1-b8ad-54b424d3f220" targetNamespace="http://schemas.microsoft.com/office/2006/metadata/properties" ma:root="true" ma:fieldsID="9a875c36fd520a00607c3671a0b9cfc6" ns3:_="">
    <xsd:import namespace="d72476d7-13f4-49c1-b8ad-54b424d3f220"/>
    <xsd:element name="properties">
      <xsd:complexType>
        <xsd:sequence>
          <xsd:element name="documentManagement">
            <xsd:complexType>
              <xsd:all>
                <xsd:element ref="ns3:MediaServiceDateTaken" minOccurs="0"/>
                <xsd:element ref="ns3:MediaServiceMetadata" minOccurs="0"/>
                <xsd:element ref="ns3:MediaServiceFastMetadata" minOccurs="0"/>
                <xsd:element ref="ns3:MediaServiceSearchProperties" minOccurs="0"/>
                <xsd:element ref="ns3:MediaServiceSystemTags" minOccurs="0"/>
                <xsd:element ref="ns3:MediaServiceGenerationTime" minOccurs="0"/>
                <xsd:element ref="ns3:MediaServiceEventHashCode" minOccurs="0"/>
                <xsd:element ref="ns3:MediaServiceLocation" minOccurs="0"/>
                <xsd:element ref="ns3:MediaServiceOCR" minOccurs="0"/>
                <xsd:element ref="ns3:MediaLengthInSeconds" minOccurs="0"/>
                <xsd:element ref="ns3:_activity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d72476d7-13f4-49c1-b8ad-54b424d3f220" elementFormDefault="qualified">
    <xsd:import namespace="http://schemas.microsoft.com/office/2006/documentManagement/types"/>
    <xsd:import namespace="http://schemas.microsoft.com/office/infopath/2007/PartnerControls"/>
    <xsd:element name="MediaServiceDateTaken" ma:index="8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Metadata" ma:index="9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10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SystemTags" ma:index="12" nillable="true" ma:displayName="MediaServiceSystemTags" ma:hidden="true" ma:internalName="MediaServiceSystemTags" ma:readOnly="true">
      <xsd:simpleType>
        <xsd:restriction base="dms:Note"/>
      </xsd:simpleType>
    </xsd:element>
    <xsd:element name="MediaServiceGenerationTime" ma:index="13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4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Location" ma:index="15" nillable="true" ma:displayName="Location" ma:indexed="true" ma:internalName="MediaServiceLocation" ma:readOnly="true">
      <xsd:simpleType>
        <xsd:restriction base="dms:Text"/>
      </xsd:simple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LengthInSeconds" ma:index="17" nillable="true" ma:displayName="MediaLengthInSeconds" ma:hidden="true" ma:internalName="MediaLengthInSeconds" ma:readOnly="true">
      <xsd:simpleType>
        <xsd:restriction base="dms:Unknown"/>
      </xsd:simpleType>
    </xsd:element>
    <xsd:element name="_activity" ma:index="18" nillable="true" ma:displayName="_activity" ma:hidden="true" ma:internalName="_activity">
      <xsd:simpleType>
        <xsd:restriction base="dms:Note"/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i contenuto"/>
        <xsd:element ref="dc:title" minOccurs="0" maxOccurs="1" ma:index="4" ma:displayName="Tito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This value indicates the number of saves or revisions. The application is responsible for updating this value after each revision.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_activity xmlns="d72476d7-13f4-49c1-b8ad-54b424d3f220" xsi:nil="true"/>
  </documentManagement>
</p:properties>
</file>

<file path=customXml/item4.xml>
</file>

<file path=customXml/itemProps1.xml><?xml version="1.0" encoding="utf-8"?>
<ds:datastoreItem xmlns:ds="http://schemas.openxmlformats.org/officeDocument/2006/customXml" ds:itemID="F11B7099-440B-490B-A861-BFA2A7C8EBF7">
  <ds:schemaRefs>
    <ds:schemaRef ds:uri="http://schemas.microsoft.com/office/2006/metadata/contentType"/>
    <ds:schemaRef ds:uri="http://schemas.microsoft.com/office/2006/metadata/properties/metaAttributes"/>
    <ds:schemaRef ds:uri="http://www.w3.org/2000/xmlns/"/>
    <ds:schemaRef ds:uri="http://www.w3.org/2001/XMLSchema"/>
    <ds:schemaRef ds:uri="d72476d7-13f4-49c1-b8ad-54b424d3f220"/>
    <ds:schemaRef ds:uri="http://schemas.microsoft.com/office/2006/metadata/properties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www.w3.org/2001/XMLSchema-instance"/>
    <ds:schemaRef ds:uri="http://purl.org/dc/elements/1.1/"/>
    <ds:schemaRef ds:uri="http://purl.org/dc/terms/"/>
    <ds:schemaRef ds:uri="http://schemas.microsoft.com/internal/obd"/>
  </ds:schemaRefs>
</ds:datastoreItem>
</file>

<file path=customXml/itemProps2.xml><?xml version="1.0" encoding="utf-8"?>
<ds:datastoreItem xmlns:ds="http://schemas.openxmlformats.org/officeDocument/2006/customXml" ds:itemID="36220265-74EC-4347-B552-ED1EB602B3E7">
  <ds:schemaRefs>
    <ds:schemaRef ds:uri="http://schemas.microsoft.com/sharepoint/v3/contenttype/forms"/>
  </ds:schemaRefs>
</ds:datastoreItem>
</file>

<file path=customXml/itemProps3.xml><?xml version="1.0" encoding="utf-8"?>
<ds:datastoreItem xmlns:ds="http://schemas.openxmlformats.org/officeDocument/2006/customXml" ds:itemID="784B2A05-BFD3-4270-A078-C7A8A4FE6EB9">
  <ds:schemaRefs>
    <ds:schemaRef ds:uri="http://schemas.microsoft.com/office/2006/metadata/properties"/>
    <ds:schemaRef ds:uri="http://www.w3.org/2000/xmlns/"/>
    <ds:schemaRef ds:uri="d72476d7-13f4-49c1-b8ad-54b424d3f220"/>
    <ds:schemaRef ds:uri="http://www.w3.org/2001/XMLSchema-instance"/>
    <ds:schemaRef ds:uri="http://schemas.microsoft.com/office/infopath/2007/PartnerControls"/>
  </ds:schemaRefs>
</ds:datastoreItem>
</file>

<file path=customXml/itemProps4.xml><?xml version="1.0" encoding="utf-8"?>
<ds:datastoreItem xmlns:ds="http://schemas.openxmlformats.org/officeDocument/2006/customXml" ds:itemID="FB6CAFCD-1DEC-49C0-A40A-CD1CA0867B32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ONLYOFFICE/9.3.1.8</Application>
  <ScaleCrop>0</ScaleCrop>
  <HeadingPairs>
    <vt:vector size="0" baseType="variant"/>
  </HeadingPairs>
  <TitlesOfParts>
    <vt:vector size="0" baseType="lpstr"/>
  </TitlesOfParts>
  <Manager/>
  <Company/>
  <LinksUpToDate>0</LinksUpToDate>
  <SharedDoc>0</SharedDoc>
  <HyperlinkBase/>
  <HyperlinksChanged>0</HyperlinksChanged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m.declich@campus.unimib.it</dc:creator>
  <cp:keywords/>
  <dc:description/>
  <cp:revision>3</cp:revision>
  <dcterms:created xsi:type="dcterms:W3CDTF">2026-04-28T05:59:56Z</dcterms:created>
  <dcterms:modified xsi:type="dcterms:W3CDTF">2026-05-09T10:33:18Z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0x0101009346E5DF961F39408DE43B15EF6999B1</vt:lpwstr>
  </property>
</Properties>
</file>