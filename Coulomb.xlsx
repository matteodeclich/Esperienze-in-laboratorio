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4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10" documentId="8_{8D9233A0-64A1-41E5-BFAF-E6A5D8A8E479}" xr6:coauthVersionLast="47" xr6:coauthVersionMax="47" xr10:uidLastSave="{C8A9F114-707F-0745-A06C-CBF8726E72D1}"/>
  <bookViews>
    <workbookView xWindow="-98" yWindow="-98" windowWidth="21795" windowHeight="12975" firstSheet="3" xr2:uid="{3001CD4C-69C2-46C5-9CA2-3EB300557D2E}"/>
  </bookViews>
  <sheets>
    <sheet name="Angolo" sheetId="1" r:id="rId1"/>
    <sheet name="Potenziale uguale" sheetId="2" r:id="rId2"/>
    <sheet name="Potenziale diverso" sheetId="3" r:id="rId3"/>
    <sheet name="Costante di torsione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6" i="1" l="1"/>
  <c r="F16" i="1"/>
  <c r="G16" i="1"/>
  <c r="B17" i="1"/>
  <c r="C10" i="1"/>
  <c r="C11" i="1"/>
  <c r="C18" i="1"/>
  <c r="D18" i="1"/>
  <c r="E18" i="1"/>
  <c r="F18" i="1"/>
  <c r="G10" i="1"/>
  <c r="G11" i="1"/>
  <c r="G18" i="1"/>
  <c r="B18" i="1"/>
  <c r="C8" i="1"/>
  <c r="C9" i="1"/>
  <c r="C17" i="1"/>
  <c r="D17" i="1"/>
  <c r="E17" i="1"/>
  <c r="F17" i="1"/>
  <c r="G8" i="1"/>
  <c r="G9" i="1"/>
  <c r="G17" i="1"/>
  <c r="D4" i="3"/>
  <c r="D5" i="3"/>
  <c r="D6" i="3"/>
  <c r="D7" i="3"/>
  <c r="D8" i="3"/>
  <c r="D9" i="3"/>
  <c r="D10" i="3"/>
  <c r="D3" i="3"/>
  <c r="C2" i="3"/>
  <c r="D2" i="3"/>
  <c r="D2" i="2"/>
  <c r="G15" i="1"/>
  <c r="F15" i="1"/>
  <c r="E15" i="1"/>
  <c r="D15" i="1"/>
  <c r="C15" i="1"/>
  <c r="B15" i="1"/>
  <c r="D3" i="2"/>
  <c r="D4" i="2"/>
  <c r="D5" i="2"/>
  <c r="D6" i="2"/>
  <c r="D7" i="2"/>
  <c r="D8" i="2"/>
  <c r="D9" i="2"/>
  <c r="D10" i="2"/>
  <c r="C3" i="4"/>
  <c r="C4" i="4"/>
  <c r="C5" i="4"/>
  <c r="C6" i="4"/>
  <c r="C2" i="4"/>
  <c r="A2" i="4"/>
  <c r="B8" i="1"/>
  <c r="B9" i="1"/>
  <c r="C13" i="1"/>
  <c r="D13" i="1"/>
  <c r="E13" i="1"/>
  <c r="F13" i="1"/>
  <c r="G13" i="1"/>
  <c r="B13" i="1"/>
  <c r="D8" i="1"/>
  <c r="D9" i="1"/>
  <c r="E8" i="1"/>
  <c r="E9" i="1"/>
  <c r="F8" i="1"/>
  <c r="F9" i="1"/>
  <c r="B10" i="1"/>
  <c r="B11" i="1"/>
  <c r="D10" i="1"/>
  <c r="D11" i="1"/>
  <c r="E10" i="1"/>
  <c r="E11" i="1"/>
  <c r="F10" i="1"/>
  <c r="F11" i="1"/>
  <c r="I2" i="1"/>
  <c r="C10" i="2"/>
  <c r="C9" i="2"/>
  <c r="C8" i="2"/>
  <c r="C7" i="2"/>
  <c r="C6" i="2"/>
  <c r="C5" i="2"/>
  <c r="C4" i="2"/>
  <c r="C3" i="2"/>
  <c r="C2" i="2"/>
  <c r="C3" i="3"/>
  <c r="C4" i="3"/>
  <c r="C5" i="3"/>
  <c r="C6" i="3"/>
  <c r="C7" i="3"/>
  <c r="C8" i="3"/>
  <c r="C9" i="3"/>
  <c r="C10" i="3"/>
  <c r="C16" i="1"/>
  <c r="D16" i="1"/>
  <c r="E16" i="1"/>
</calcChain>
</file>

<file path=xl/sharedStrings.xml><?xml version="1.0" encoding="utf-8"?>
<sst xmlns="http://schemas.openxmlformats.org/spreadsheetml/2006/main" count="34" uniqueCount="25">
  <si>
    <t>r (m)</t>
  </si>
  <si>
    <t>d_0 (m)</t>
  </si>
  <si>
    <t>diametro (m)</t>
  </si>
  <si>
    <t>θ (°)</t>
  </si>
  <si>
    <t>Media (°)</t>
  </si>
  <si>
    <t>Media (rad)</t>
  </si>
  <si>
    <t>Dev.std (°)</t>
  </si>
  <si>
    <t>Dev.std (rad)</t>
  </si>
  <si>
    <t>Err.Media (°)</t>
  </si>
  <si>
    <t>Err.Media (rad)</t>
  </si>
  <si>
    <t>1/r^2</t>
  </si>
  <si>
    <t>usando come raggi r + d</t>
  </si>
  <si>
    <t>θ corretto</t>
  </si>
  <si>
    <t>sθ corretto</t>
  </si>
  <si>
    <t>Potenziale (kV)</t>
  </si>
  <si>
    <t>θ (rad)</t>
  </si>
  <si>
    <t>d=7 cm</t>
  </si>
  <si>
    <t>σθ</t>
  </si>
  <si>
    <t xml:space="preserve">                                                                                                       </t>
  </si>
  <si>
    <t>Potenziale (V)</t>
  </si>
  <si>
    <t>Potenziale fisso</t>
  </si>
  <si>
    <t>Massa (kg)</t>
  </si>
  <si>
    <t>b=118,15 mm</t>
  </si>
  <si>
    <t>=</t>
  </si>
  <si>
    <t>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</si>
</sst>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charset val="1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0" xfId="0" applyFont="1"/>
    <xf numFmtId="0" fontId="0" fillId="3" borderId="0" xfId="0" applyFill="1" applyAlignment="1">
      <alignment vertical="center"/>
    </xf>
    <xf numFmtId="0" fontId="3" fillId="0" borderId="0" xfId="0" applyFont="1"/>
    <xf numFmtId="0" fontId="2" fillId="2" borderId="0" xfId="0" applyFont="1" applyFill="1"/>
    <xf numFmtId="2" fontId="0" fillId="3" borderId="0" xfId="0" applyNumberFormat="1" applyFill="1"/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5893D-406E-467E-86BB-E52DE35A0427}">
  <dimension ref="A1:I18"/>
  <sheetViews>
    <sheetView tabSelected="1" topLeftCell="C1" workbookViewId="0">
      <selection activeCell="F23" sqref="F23"/>
    </sheetView>
  </sheetViews>
  <sheetFormatPr defaultRowHeight="15" x14ac:dyDescent="0.2"/>
  <cols>
    <col min="1" max="1" width="12.23828125" customWidth="1"/>
    <col min="2" max="2" width="9.81640625" bestFit="1" customWidth="1"/>
    <col min="4" max="4" width="10.22265625" bestFit="1" customWidth="1"/>
    <col min="6" max="6" width="8.875" bestFit="1" customWidth="1"/>
    <col min="8" max="8" width="10.625" customWidth="1"/>
    <col min="9" max="10" width="12.64453125" customWidth="1"/>
  </cols>
  <sheetData>
    <row r="1" spans="1:9" x14ac:dyDescent="0.2">
      <c r="B1" s="8" t="s">
        <v>0</v>
      </c>
      <c r="C1" s="8"/>
      <c r="D1" s="8"/>
      <c r="E1" s="8"/>
      <c r="F1" s="8"/>
      <c r="G1" s="8"/>
      <c r="H1" s="1" t="s">
        <v>1</v>
      </c>
      <c r="I1" s="1" t="s">
        <v>2</v>
      </c>
    </row>
    <row r="2" spans="1:9" x14ac:dyDescent="0.2">
      <c r="B2" s="2">
        <v>0.06</v>
      </c>
      <c r="C2" s="2">
        <v>0.08</v>
      </c>
      <c r="D2" s="7">
        <v>0.1</v>
      </c>
      <c r="E2" s="2">
        <v>0.15</v>
      </c>
      <c r="F2" s="2">
        <v>0.18</v>
      </c>
      <c r="G2" s="2">
        <v>0.2</v>
      </c>
      <c r="H2">
        <v>3.9E-2</v>
      </c>
      <c r="I2">
        <f>39.05*10^(-3)</f>
        <v>3.9050000000000001E-2</v>
      </c>
    </row>
    <row r="3" spans="1:9" x14ac:dyDescent="0.2">
      <c r="A3" s="9" t="s">
        <v>3</v>
      </c>
      <c r="B3">
        <v>95</v>
      </c>
      <c r="C3">
        <v>58</v>
      </c>
      <c r="D3">
        <v>44</v>
      </c>
      <c r="E3">
        <v>24</v>
      </c>
      <c r="F3">
        <v>14</v>
      </c>
      <c r="G3">
        <v>10</v>
      </c>
    </row>
    <row r="4" spans="1:9" x14ac:dyDescent="0.2">
      <c r="A4" s="9"/>
      <c r="B4">
        <v>92</v>
      </c>
      <c r="C4">
        <v>61</v>
      </c>
      <c r="D4">
        <v>44</v>
      </c>
      <c r="E4">
        <v>25</v>
      </c>
      <c r="F4">
        <v>15</v>
      </c>
      <c r="G4">
        <v>11</v>
      </c>
    </row>
    <row r="5" spans="1:9" x14ac:dyDescent="0.2">
      <c r="A5" s="9"/>
      <c r="B5">
        <v>94</v>
      </c>
      <c r="C5">
        <v>64</v>
      </c>
      <c r="D5">
        <v>45</v>
      </c>
      <c r="E5">
        <v>24</v>
      </c>
      <c r="F5">
        <v>15</v>
      </c>
      <c r="G5">
        <v>10</v>
      </c>
    </row>
    <row r="6" spans="1:9" x14ac:dyDescent="0.2">
      <c r="A6" s="9"/>
      <c r="C6">
        <v>61</v>
      </c>
    </row>
    <row r="7" spans="1:9" x14ac:dyDescent="0.2">
      <c r="A7" s="9"/>
      <c r="C7">
        <v>64</v>
      </c>
    </row>
    <row r="8" spans="1:9" x14ac:dyDescent="0.2">
      <c r="A8" s="2" t="s">
        <v>4</v>
      </c>
      <c r="B8">
        <f>AVERAGE(B3:B5)</f>
        <v>93.666666666666671</v>
      </c>
      <c r="C8">
        <f>AVERAGE(C3:C7)</f>
        <v>61.6</v>
      </c>
      <c r="D8">
        <f>AVERAGE(D3:D5)</f>
        <v>44.333333333333336</v>
      </c>
      <c r="E8">
        <f>AVERAGE(E3:E5)</f>
        <v>24.333333333333332</v>
      </c>
      <c r="F8">
        <f>AVERAGE(F3:F5)</f>
        <v>14.666666666666666</v>
      </c>
      <c r="G8">
        <f>AVERAGE(G3:G5)</f>
        <v>10.333333333333334</v>
      </c>
    </row>
    <row r="9" spans="1:9" x14ac:dyDescent="0.2">
      <c r="A9" s="2" t="s">
        <v>5</v>
      </c>
      <c r="B9">
        <f>RADIANS(B8)</f>
        <v>1.6347917327013555</v>
      </c>
      <c r="C9">
        <f t="shared" ref="C9:G9" si="0">RADIANS(C8)</f>
        <v>1.0751228192285069</v>
      </c>
      <c r="D9">
        <f t="shared" si="0"/>
        <v>0.77376263505081944</v>
      </c>
      <c r="E9">
        <f t="shared" si="0"/>
        <v>0.42469678465195349</v>
      </c>
      <c r="F9">
        <f t="shared" si="0"/>
        <v>0.25598162362583499</v>
      </c>
      <c r="G9">
        <f t="shared" si="0"/>
        <v>0.1803506893727474</v>
      </c>
    </row>
    <row r="10" spans="1:9" x14ac:dyDescent="0.2">
      <c r="A10" s="2" t="s">
        <v>6</v>
      </c>
      <c r="B10">
        <f>_xlfn.STDEV.S(B3:B5)</f>
        <v>1.5275252316519468</v>
      </c>
      <c r="C10">
        <f>_xlfn.STDEV.S(C3:C5)</f>
        <v>3</v>
      </c>
      <c r="D10">
        <f>_xlfn.STDEV.S(D3:D5)</f>
        <v>0.57735026918962584</v>
      </c>
      <c r="E10">
        <f>_xlfn.STDEV.S(E3:E5)</f>
        <v>0.57735026918962584</v>
      </c>
      <c r="F10">
        <f>_xlfn.STDEV.S(F3:F5)</f>
        <v>0.57735026918962573</v>
      </c>
      <c r="G10">
        <f>_xlfn.STDEV.S(G3:G5)</f>
        <v>0.57735026918962573</v>
      </c>
      <c r="H10" s="3"/>
    </row>
    <row r="11" spans="1:9" x14ac:dyDescent="0.2">
      <c r="A11" s="2" t="s">
        <v>7</v>
      </c>
      <c r="B11">
        <f>RADIANS(B10)</f>
        <v>2.6660344699615573E-2</v>
      </c>
      <c r="C11">
        <f t="shared" ref="C11:G11" si="1">RADIANS(C10)</f>
        <v>5.235987755982989E-2</v>
      </c>
      <c r="D11">
        <f t="shared" si="1"/>
        <v>1.0076663134634544E-2</v>
      </c>
      <c r="E11">
        <f t="shared" si="1"/>
        <v>1.0076663134634544E-2</v>
      </c>
      <c r="F11">
        <f t="shared" si="1"/>
        <v>1.0076663134634543E-2</v>
      </c>
      <c r="G11">
        <f t="shared" si="1"/>
        <v>1.0076663134634543E-2</v>
      </c>
    </row>
    <row r="12" spans="1:9" x14ac:dyDescent="0.2">
      <c r="A12" s="2" t="s">
        <v>8</v>
      </c>
      <c r="B12">
        <v>4</v>
      </c>
      <c r="C12">
        <v>4</v>
      </c>
      <c r="D12">
        <v>3.5</v>
      </c>
      <c r="E12">
        <v>3</v>
      </c>
      <c r="F12">
        <v>3</v>
      </c>
      <c r="G12">
        <v>3</v>
      </c>
    </row>
    <row r="13" spans="1:9" x14ac:dyDescent="0.2">
      <c r="A13" s="2" t="s">
        <v>9</v>
      </c>
      <c r="B13">
        <f>RADIANS(B12)</f>
        <v>6.9813170079773182E-2</v>
      </c>
      <c r="C13">
        <f t="shared" ref="C13:H13" si="2">RADIANS(C12)</f>
        <v>6.9813170079773182E-2</v>
      </c>
      <c r="D13">
        <f t="shared" si="2"/>
        <v>6.1086523819801536E-2</v>
      </c>
      <c r="E13">
        <f t="shared" si="2"/>
        <v>5.235987755982989E-2</v>
      </c>
      <c r="F13">
        <f t="shared" si="2"/>
        <v>5.235987755982989E-2</v>
      </c>
      <c r="G13">
        <f t="shared" si="2"/>
        <v>5.235987755982989E-2</v>
      </c>
    </row>
    <row r="14" spans="1:9" x14ac:dyDescent="0.2">
      <c r="D14" s="3"/>
      <c r="E14" s="3"/>
    </row>
    <row r="15" spans="1:9" x14ac:dyDescent="0.2">
      <c r="A15" t="s">
        <v>10</v>
      </c>
      <c r="B15">
        <f>1/(B2+$I$2)^2</f>
        <v>101.92742206947833</v>
      </c>
      <c r="C15">
        <f>1/(C2+$I$2)^2</f>
        <v>70.557177684669739</v>
      </c>
      <c r="D15">
        <f>1/(D2+$I$2)^2</f>
        <v>51.719940144513266</v>
      </c>
      <c r="E15">
        <f>1/(E2+$I$2)^2</f>
        <v>27.979930835009974</v>
      </c>
      <c r="F15">
        <f>1/(F2+$I$2)^2</f>
        <v>20.840756767475664</v>
      </c>
      <c r="G15">
        <f>1/(G2+$I$2)^2</f>
        <v>17.499373631795066</v>
      </c>
      <c r="I15" t="s">
        <v>11</v>
      </c>
    </row>
    <row r="16" spans="1:9" x14ac:dyDescent="0.2">
      <c r="A16" t="s">
        <v>24</v>
      </c>
      <c r="B16">
        <f xml:space="preserve"> 1-(4*($I$2/2)^3)/(B2+$I$2)^3</f>
        <v>0.96936134620092673</v>
      </c>
      <c r="C16">
        <f xml:space="preserve"> 1-(4*($I$2/2)^3)/(C2+$I$2)^3</f>
        <v>0.98235405506106765</v>
      </c>
      <c r="D16">
        <f xml:space="preserve"> 1-(4*($I$2/2)^3)/(D2+$I$2)^3</f>
        <v>0.98892560169606669</v>
      </c>
      <c r="E16">
        <f xml:space="preserve"> 1-(4*($I$2/2)^3)/(E2+$I$2)^3</f>
        <v>0.99559340564387933</v>
      </c>
      <c r="F16">
        <f xml:space="preserve"> 1-(4*($I$2/2)^3)/(F2+$I$2)^3</f>
        <v>0.99716728197244275</v>
      </c>
      <c r="G16">
        <f xml:space="preserve"> 1-(4*($I$2/2)^3)/(G2+$I$2)^3</f>
        <v>0.99782044980691753</v>
      </c>
    </row>
    <row r="17" spans="1:7" x14ac:dyDescent="0.2">
      <c r="A17" t="s">
        <v>12</v>
      </c>
      <c r="B17">
        <f>B9/B16</f>
        <v>1.6864626788641313</v>
      </c>
      <c r="C17">
        <f t="shared" ref="C17:G17" si="3">C9/C16</f>
        <v>1.0944351618334516</v>
      </c>
      <c r="D17">
        <f t="shared" si="3"/>
        <v>0.78242754937658621</v>
      </c>
      <c r="E17">
        <f t="shared" si="3"/>
        <v>0.42657653440089799</v>
      </c>
      <c r="F17">
        <f t="shared" si="3"/>
        <v>0.25670880729208401</v>
      </c>
      <c r="G17">
        <f t="shared" si="3"/>
        <v>0.1807446313689462</v>
      </c>
    </row>
    <row r="18" spans="1:7" x14ac:dyDescent="0.2">
      <c r="A18" t="s">
        <v>13</v>
      </c>
      <c r="B18">
        <f>B11/B16</f>
        <v>2.7502999582252257E-2</v>
      </c>
      <c r="C18">
        <f t="shared" ref="C18:G18" si="4">C11/C16</f>
        <v>5.3300413725655117E-2</v>
      </c>
      <c r="D18">
        <f t="shared" si="4"/>
        <v>1.0189505780164315E-2</v>
      </c>
      <c r="E18">
        <f t="shared" si="4"/>
        <v>1.0121263436972719E-2</v>
      </c>
      <c r="F18">
        <f t="shared" si="4"/>
        <v>1.010528856773403E-2</v>
      </c>
      <c r="G18">
        <f t="shared" si="4"/>
        <v>1.0098673700849105E-2</v>
      </c>
    </row>
  </sheetData>
  <mergeCells count="2">
    <mergeCell ref="B1:G1"/>
    <mergeCell ref="A3:A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A4006-0DA1-4766-B6D5-C1E42A958FCF}">
  <dimension ref="A1:N13"/>
  <sheetViews>
    <sheetView workbookViewId="0">
      <selection activeCell="B13" sqref="B13"/>
    </sheetView>
  </sheetViews>
  <sheetFormatPr defaultRowHeight="15" x14ac:dyDescent="0.2"/>
  <cols>
    <col min="1" max="1" width="14.2578125" customWidth="1"/>
    <col min="12" max="12" width="13.85546875" customWidth="1"/>
  </cols>
  <sheetData>
    <row r="1" spans="1:14" x14ac:dyDescent="0.2">
      <c r="A1" s="2" t="s">
        <v>14</v>
      </c>
      <c r="B1" s="4" t="s">
        <v>3</v>
      </c>
      <c r="C1" s="2" t="s">
        <v>15</v>
      </c>
      <c r="D1" t="s">
        <v>12</v>
      </c>
      <c r="F1" t="s">
        <v>16</v>
      </c>
      <c r="G1" t="s">
        <v>17</v>
      </c>
    </row>
    <row r="2" spans="1:14" x14ac:dyDescent="0.2">
      <c r="A2">
        <v>6000</v>
      </c>
      <c r="B2">
        <v>70</v>
      </c>
      <c r="C2">
        <f>RADIANS(B2)</f>
        <v>1.2217304763960306</v>
      </c>
      <c r="D2">
        <f>C2*0.977</f>
        <v>1.1936306754389219</v>
      </c>
      <c r="N2" t="s">
        <v>18</v>
      </c>
    </row>
    <row r="3" spans="1:14" x14ac:dyDescent="0.2">
      <c r="A3">
        <v>5500</v>
      </c>
      <c r="B3">
        <v>62</v>
      </c>
      <c r="C3">
        <f t="shared" ref="C3:C10" si="0">RADIANS(B3)</f>
        <v>1.0821041362364843</v>
      </c>
      <c r="D3">
        <f t="shared" ref="D3:D10" si="1">C3*0.977</f>
        <v>1.0572157411030452</v>
      </c>
    </row>
    <row r="4" spans="1:14" x14ac:dyDescent="0.2">
      <c r="A4">
        <v>5000</v>
      </c>
      <c r="B4">
        <v>48</v>
      </c>
      <c r="C4">
        <f t="shared" si="0"/>
        <v>0.83775804095727824</v>
      </c>
      <c r="D4">
        <f t="shared" si="1"/>
        <v>0.81848960601526077</v>
      </c>
    </row>
    <row r="5" spans="1:14" x14ac:dyDescent="0.2">
      <c r="A5">
        <v>4500</v>
      </c>
      <c r="B5">
        <v>41</v>
      </c>
      <c r="C5">
        <f t="shared" si="0"/>
        <v>0.71558499331767511</v>
      </c>
      <c r="D5">
        <f t="shared" si="1"/>
        <v>0.69912653847136852</v>
      </c>
    </row>
    <row r="6" spans="1:14" x14ac:dyDescent="0.2">
      <c r="A6">
        <v>4000</v>
      </c>
      <c r="B6">
        <v>35</v>
      </c>
      <c r="C6">
        <f t="shared" si="0"/>
        <v>0.6108652381980153</v>
      </c>
      <c r="D6">
        <f t="shared" si="1"/>
        <v>0.59681533771946094</v>
      </c>
    </row>
    <row r="7" spans="1:14" x14ac:dyDescent="0.2">
      <c r="A7">
        <v>3500</v>
      </c>
      <c r="B7">
        <v>23</v>
      </c>
      <c r="C7">
        <f t="shared" si="0"/>
        <v>0.4014257279586958</v>
      </c>
      <c r="D7">
        <f t="shared" si="1"/>
        <v>0.39219293621564577</v>
      </c>
    </row>
    <row r="8" spans="1:14" x14ac:dyDescent="0.2">
      <c r="A8">
        <v>3000</v>
      </c>
      <c r="B8">
        <v>20</v>
      </c>
      <c r="C8">
        <f t="shared" si="0"/>
        <v>0.3490658503988659</v>
      </c>
      <c r="D8">
        <f t="shared" si="1"/>
        <v>0.34103733583969198</v>
      </c>
    </row>
    <row r="9" spans="1:14" x14ac:dyDescent="0.2">
      <c r="A9">
        <v>2500</v>
      </c>
      <c r="B9">
        <v>14</v>
      </c>
      <c r="C9">
        <f t="shared" si="0"/>
        <v>0.24434609527920614</v>
      </c>
      <c r="D9">
        <f t="shared" si="1"/>
        <v>0.2387261350877844</v>
      </c>
    </row>
    <row r="10" spans="1:14" x14ac:dyDescent="0.2">
      <c r="A10">
        <v>2000</v>
      </c>
      <c r="B10">
        <v>10</v>
      </c>
      <c r="C10">
        <f t="shared" si="0"/>
        <v>0.17453292519943295</v>
      </c>
      <c r="D10">
        <f t="shared" si="1"/>
        <v>0.17051866791984599</v>
      </c>
    </row>
    <row r="13" spans="1:14" x14ac:dyDescent="0.2">
      <c r="A13" t="s">
        <v>24</v>
      </c>
      <c r="B13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22D71-66B6-4C6E-9CD2-993DECA47905}">
  <dimension ref="A1:H13"/>
  <sheetViews>
    <sheetView workbookViewId="0">
      <selection activeCell="E16" sqref="E16"/>
    </sheetView>
  </sheetViews>
  <sheetFormatPr defaultRowHeight="15" x14ac:dyDescent="0.2"/>
  <cols>
    <col min="1" max="1" width="17.484375" customWidth="1"/>
    <col min="4" max="4" width="14.390625" customWidth="1"/>
    <col min="8" max="8" width="14.125" customWidth="1"/>
  </cols>
  <sheetData>
    <row r="1" spans="1:8" x14ac:dyDescent="0.2">
      <c r="A1" s="2" t="s">
        <v>19</v>
      </c>
      <c r="B1" s="4" t="s">
        <v>3</v>
      </c>
      <c r="C1" s="2" t="s">
        <v>15</v>
      </c>
      <c r="D1" t="s">
        <v>12</v>
      </c>
      <c r="E1" s="6" t="s">
        <v>20</v>
      </c>
      <c r="F1" t="s">
        <v>16</v>
      </c>
    </row>
    <row r="2" spans="1:8" x14ac:dyDescent="0.2">
      <c r="A2">
        <v>6000</v>
      </c>
      <c r="B2">
        <v>70</v>
      </c>
      <c r="C2">
        <f>RADIANS(B2)</f>
        <v>1.2217304763960306</v>
      </c>
      <c r="D2">
        <f>C2*0.977</f>
        <v>1.1936306754389219</v>
      </c>
      <c r="E2">
        <v>6000</v>
      </c>
    </row>
    <row r="3" spans="1:8" x14ac:dyDescent="0.2">
      <c r="A3">
        <v>5500</v>
      </c>
      <c r="B3">
        <v>65</v>
      </c>
      <c r="C3">
        <f t="shared" ref="C3:C10" si="0">RADIANS(B3)</f>
        <v>1.1344640137963142</v>
      </c>
      <c r="D3">
        <f>C3*0.977</f>
        <v>1.1083713414789991</v>
      </c>
    </row>
    <row r="4" spans="1:8" x14ac:dyDescent="0.2">
      <c r="A4">
        <v>5000</v>
      </c>
      <c r="B4">
        <v>61</v>
      </c>
      <c r="C4">
        <f t="shared" si="0"/>
        <v>1.064650843716541</v>
      </c>
      <c r="D4">
        <f t="shared" ref="D4:D10" si="1">C4*0.977</f>
        <v>1.0401638743110604</v>
      </c>
    </row>
    <row r="5" spans="1:8" x14ac:dyDescent="0.2">
      <c r="A5">
        <v>4500</v>
      </c>
      <c r="B5">
        <v>59</v>
      </c>
      <c r="C5">
        <f t="shared" si="0"/>
        <v>1.0297442586766545</v>
      </c>
      <c r="D5">
        <f t="shared" si="1"/>
        <v>1.0060601407270915</v>
      </c>
    </row>
    <row r="6" spans="1:8" x14ac:dyDescent="0.2">
      <c r="A6">
        <v>4000</v>
      </c>
      <c r="B6">
        <v>52</v>
      </c>
      <c r="C6">
        <f t="shared" si="0"/>
        <v>0.90757121103705141</v>
      </c>
      <c r="D6">
        <f t="shared" si="1"/>
        <v>0.88669707318319924</v>
      </c>
    </row>
    <row r="7" spans="1:8" x14ac:dyDescent="0.2">
      <c r="A7">
        <v>3500</v>
      </c>
      <c r="B7">
        <v>43</v>
      </c>
      <c r="C7">
        <f t="shared" si="0"/>
        <v>0.75049157835756175</v>
      </c>
      <c r="D7">
        <f t="shared" si="1"/>
        <v>0.73323027205533786</v>
      </c>
    </row>
    <row r="8" spans="1:8" x14ac:dyDescent="0.2">
      <c r="A8">
        <v>3000</v>
      </c>
      <c r="B8">
        <v>39</v>
      </c>
      <c r="C8">
        <f t="shared" si="0"/>
        <v>0.68067840827778847</v>
      </c>
      <c r="D8">
        <f t="shared" si="1"/>
        <v>0.66502280488739929</v>
      </c>
    </row>
    <row r="9" spans="1:8" x14ac:dyDescent="0.2">
      <c r="A9">
        <v>2500</v>
      </c>
      <c r="B9">
        <v>35</v>
      </c>
      <c r="C9">
        <f t="shared" si="0"/>
        <v>0.6108652381980153</v>
      </c>
      <c r="D9">
        <f t="shared" si="1"/>
        <v>0.59681533771946094</v>
      </c>
    </row>
    <row r="10" spans="1:8" x14ac:dyDescent="0.2">
      <c r="A10">
        <v>2000</v>
      </c>
      <c r="B10">
        <v>28</v>
      </c>
      <c r="C10">
        <f t="shared" si="0"/>
        <v>0.48869219055841229</v>
      </c>
      <c r="D10">
        <f t="shared" si="1"/>
        <v>0.47745227017556879</v>
      </c>
    </row>
    <row r="13" spans="1:8" x14ac:dyDescent="0.2">
      <c r="H13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CECF5-3ED3-4664-AB1F-7D49A3869436}">
  <dimension ref="A1:D6"/>
  <sheetViews>
    <sheetView workbookViewId="0">
      <selection activeCell="E9" sqref="E9"/>
    </sheetView>
  </sheetViews>
  <sheetFormatPr defaultRowHeight="15" x14ac:dyDescent="0.2"/>
  <cols>
    <col min="1" max="1" width="12.375" customWidth="1"/>
    <col min="3" max="3" width="13.5859375" customWidth="1"/>
    <col min="4" max="4" width="12.23828125" customWidth="1"/>
  </cols>
  <sheetData>
    <row r="1" spans="1:4" x14ac:dyDescent="0.2">
      <c r="A1" s="2" t="s">
        <v>21</v>
      </c>
      <c r="B1" s="4" t="s">
        <v>3</v>
      </c>
      <c r="C1" s="2" t="s">
        <v>15</v>
      </c>
      <c r="D1" s="2" t="s">
        <v>22</v>
      </c>
    </row>
    <row r="2" spans="1:4" x14ac:dyDescent="0.2">
      <c r="A2">
        <f>2*10^(-5)</f>
        <v>2.0000000000000002E-5</v>
      </c>
      <c r="B2">
        <v>136</v>
      </c>
      <c r="C2">
        <f>RADIANS(B2)</f>
        <v>2.3736477827122884</v>
      </c>
    </row>
    <row r="3" spans="1:4" x14ac:dyDescent="0.2">
      <c r="A3">
        <v>4.0000000000000003E-5</v>
      </c>
      <c r="B3">
        <v>282</v>
      </c>
      <c r="C3">
        <f t="shared" ref="C3:C6" si="0">RADIANS(B3)</f>
        <v>4.9218284906240095</v>
      </c>
    </row>
    <row r="4" spans="1:4" x14ac:dyDescent="0.2">
      <c r="A4">
        <v>5.0000000000000002E-5</v>
      </c>
      <c r="B4">
        <v>355</v>
      </c>
      <c r="C4">
        <f t="shared" si="0"/>
        <v>6.1959188445798699</v>
      </c>
    </row>
    <row r="5" spans="1:4" x14ac:dyDescent="0.2">
      <c r="A5">
        <v>6.9999999999999994E-5</v>
      </c>
      <c r="B5">
        <v>500</v>
      </c>
      <c r="C5">
        <f t="shared" si="0"/>
        <v>8.7266462599716483</v>
      </c>
    </row>
    <row r="6" spans="1:4" x14ac:dyDescent="0.2">
      <c r="A6">
        <v>9.0000000000000006E-5</v>
      </c>
      <c r="B6" s="5">
        <v>645</v>
      </c>
      <c r="C6">
        <f t="shared" si="0"/>
        <v>11.257373675363425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72476d7-13f4-49c1-b8ad-54b424d3f22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346E5DF961F39408DE43B15EF6999B1" ma:contentTypeVersion="11" ma:contentTypeDescription="Creare un nuovo documento." ma:contentTypeScope="" ma:versionID="254c620abb66516fcb15e42ffae33bb8">
  <xsd:schema xmlns:xsd="http://www.w3.org/2001/XMLSchema" xmlns:xs="http://www.w3.org/2001/XMLSchema" xmlns:p="http://schemas.microsoft.com/office/2006/metadata/properties" xmlns:ns3="d72476d7-13f4-49c1-b8ad-54b424d3f220" targetNamespace="http://schemas.microsoft.com/office/2006/metadata/properties" ma:root="true" ma:fieldsID="9a875c36fd520a00607c3671a0b9cfc6" ns3:_="">
    <xsd:import namespace="d72476d7-13f4-49c1-b8ad-54b424d3f220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72476d7-13f4-49c1-b8ad-54b424d3f220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2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B6CAFCD-1DEC-49C0-A40A-CD1CA0867B32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84B2A05-BFD3-4270-A078-C7A8A4FE6EB9}">
  <ds:schemaRefs>
    <ds:schemaRef ds:uri="http://schemas.microsoft.com/office/2006/metadata/properties"/>
    <ds:schemaRef ds:uri="http://www.w3.org/2000/xmlns/"/>
    <ds:schemaRef ds:uri="d72476d7-13f4-49c1-b8ad-54b424d3f220"/>
    <ds:schemaRef ds:uri="http://www.w3.org/2001/XMLSchema-instance"/>
  </ds:schemaRefs>
</ds:datastoreItem>
</file>

<file path=customXml/itemProps3.xml><?xml version="1.0" encoding="utf-8"?>
<ds:datastoreItem xmlns:ds="http://schemas.openxmlformats.org/officeDocument/2006/customXml" ds:itemID="{36220265-74EC-4347-B552-ED1EB602B3E7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11B7099-440B-490B-A861-BFA2A7C8EBF7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d72476d7-13f4-49c1-b8ad-54b424d3f22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Angolo</vt:lpstr>
      <vt:lpstr>Potenziale uguale</vt:lpstr>
      <vt:lpstr>Potenziale diverso</vt:lpstr>
      <vt:lpstr>Costante di torsione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f.bernabei@campus.unimib.it</cp:lastModifiedBy>
  <cp:revision/>
  <dcterms:created xsi:type="dcterms:W3CDTF">2026-04-28T05:59:56Z</dcterms:created>
  <dcterms:modified xsi:type="dcterms:W3CDTF">2026-05-02T00:29:32Z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0x0101009346E5DF961F39408DE43B15EF6999B1</vt:lpwstr>
  </property>
</Properties>
</file>