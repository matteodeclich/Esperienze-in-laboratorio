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<sst xmlns="http://schemas.openxmlformats.org/spreadsheetml/2006/main" count="24" uniqueCount="24">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</sst>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0" fillId="5" borderId="0" numFmtId="0" xfId="0" applyFill="1"/>
    <xf fontId="0" fillId="0" borderId="0" numFmtId="0" xfId="0">
      <protection hidden="0" locked="1"/>
    </xf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3.9e-002</v>
      </c>
      <c r="I2">
        <f>H2/2</f>
        <v>1.95e-002</v>
      </c>
      <c r="J2">
        <v>1.e-003</v>
      </c>
    </row>
    <row r="3">
      <c r="A3" s="5" t="s">
        <v>4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</row>
    <row r="4">
      <c r="A4" s="6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</row>
    <row r="5">
      <c r="A5" s="7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 ht="14.25">
      <c r="A7" s="8" t="s">
        <v>5</v>
      </c>
      <c r="B7">
        <f>AVERAGE(B3:B5)</f>
        <v>98</v>
      </c>
      <c r="C7">
        <f>AVERAGE(C3:C5)</f>
        <v>68</v>
      </c>
      <c r="D7">
        <f>AVERAGE(D3:D5)</f>
        <v>49.333333333333336</v>
      </c>
      <c r="E7">
        <f>AVERAGE(E3:E5)</f>
        <v>29.333333333333332</v>
      </c>
      <c r="F7">
        <f>AVERAGE(F3:F5)</f>
        <v>19.666666666666668</v>
      </c>
      <c r="G7">
        <f>AVERAGE(G3:G5)</f>
        <v>14.333333333333334</v>
      </c>
    </row>
    <row r="8">
      <c r="A8" s="8" t="s">
        <v>6</v>
      </c>
      <c r="B8">
        <f>RADIANS(B7)</f>
        <v>1.7104226669544429</v>
      </c>
      <c r="C8">
        <f>RADIANS(C7)</f>
        <v>1.1868238913561442</v>
      </c>
      <c r="D8">
        <f>RADIANS(D7)</f>
        <v>0.86102909765053581</v>
      </c>
      <c r="E8">
        <f>RADIANS(E7)</f>
        <v>0.51196324725166997</v>
      </c>
      <c r="F8">
        <f>RADIANS(F7)</f>
        <v>0.34324808622555147</v>
      </c>
      <c r="G8">
        <f>RADIANS(G7)</f>
        <v>0.25016385945252056</v>
      </c>
    </row>
    <row r="9">
      <c r="A9" s="8" t="s">
        <v>7</v>
      </c>
      <c r="B9">
        <f>_xlfn.STDEV.S(B3:B5)</f>
        <v>1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1.7453292519943295e-002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8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8" t="s">
        <v>11</v>
      </c>
      <c r="B14">
        <f>B2+$H$2</f>
        <v>9.9000000000000005e-002</v>
      </c>
      <c r="C14">
        <f>C2+$H$2</f>
        <v>0.11899999999999999</v>
      </c>
      <c r="D14">
        <f>D2+$H$2</f>
        <v>0.13900000000000001</v>
      </c>
      <c r="E14">
        <f>E2+$H$2</f>
        <v>0.189</v>
      </c>
      <c r="F14">
        <f>F2+$H$2</f>
        <v>0.219</v>
      </c>
      <c r="G14">
        <f>G2+$H$2</f>
        <v>0.23900000000000002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v>5.2359877999999999e-002</v>
      </c>
      <c r="F2" s="13">
        <v>3.9e-002</v>
      </c>
      <c r="G2" s="13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v>5.2359877999999999e-002</v>
      </c>
      <c r="F4">
        <f>F2+0.08</f>
        <v>0.11899999999999999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v>5.2359877999999999e-002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v>5.2359877999999999e-002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v>5.2359877999999999e-002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v>5.2359877999999999e-002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3">
        <v>5.2359877999999999e-002</v>
      </c>
      <c r="F2" s="13">
        <v>3.9e-002</v>
      </c>
      <c r="G2" s="13">
        <f>F2/2</f>
        <v>1.95e-002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3">
        <v>5.2359877999999999e-002</v>
      </c>
      <c r="F4" s="13">
        <f>F2+0.08</f>
        <v>0.11899999999999999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3">
        <v>5.2359877999999999e-002</v>
      </c>
      <c r="F5" s="16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3">
        <v>5.2359877999999999e-002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3">
        <v>5.2359877999999999e-002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3">
        <v>5.2359877999999999e-002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3">
        <v>5.2359877999999999e-002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3">
        <v>5.2359878000000026e-002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5" max="6" width="11.703125"/>
  </cols>
  <sheetData>
    <row r="1">
      <c r="A1" s="14" t="s">
        <v>22</v>
      </c>
      <c r="B1" s="15" t="s">
        <v>19</v>
      </c>
      <c r="C1" s="14" t="s">
        <v>20</v>
      </c>
      <c r="D1" s="17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8">
        <f>RADIANS(4)</f>
        <v>6.9813170079773182e-002</v>
      </c>
    </row>
    <row r="3">
      <c r="A3">
        <v>4.0000000000000003e-005</v>
      </c>
      <c r="B3">
        <v>282</v>
      </c>
      <c r="C3">
        <f>RADIANS(B3)</f>
        <v>4.9218284906240086</v>
      </c>
      <c r="D3" s="18">
        <f>RADIANS(4)</f>
        <v>6.9813170079773182e-002</v>
      </c>
    </row>
    <row r="4">
      <c r="A4">
        <v>5.0000000000000002e-005</v>
      </c>
      <c r="B4">
        <v>355</v>
      </c>
      <c r="C4">
        <f>RADIANS(B4)</f>
        <v>6.1959188445798699</v>
      </c>
      <c r="D4" s="18">
        <f>RADIANS(4)</f>
        <v>6.9813170079773182e-002</v>
      </c>
    </row>
    <row r="5">
      <c r="A5">
        <v>6.9999999999999994e-005</v>
      </c>
      <c r="B5">
        <v>500</v>
      </c>
      <c r="C5">
        <f>RADIANS(B5)</f>
        <v>8.7266462599716466</v>
      </c>
      <c r="D5" s="18">
        <f>RADIANS(4)</f>
        <v>6.9813170079773182e-002</v>
      </c>
    </row>
    <row r="6">
      <c r="A6">
        <v>9.0000000000000006e-005</v>
      </c>
      <c r="B6" s="19">
        <v>645</v>
      </c>
      <c r="C6">
        <f>RADIANS(B6)</f>
        <v>11.257373675363425</v>
      </c>
      <c r="D6" s="18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2026-05-09T12:14:05Z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