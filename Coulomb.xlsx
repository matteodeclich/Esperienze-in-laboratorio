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ngolo" sheetId="1" state="visible" r:id="rId1"/>
    <sheet name="Potenziale uguale" sheetId="2" state="visible" r:id="rId2"/>
    <sheet name="Potenziale diverso" sheetId="3" state="visible" r:id="rId3"/>
    <sheet name="Costante di torsione" sheetId="4" state="visible" r:id="rId4"/>
  </sheets>
  <calcPr/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<sst xmlns="http://schemas.openxmlformats.org/spreadsheetml/2006/main" count="25" uniqueCount="25">
  <si>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</si>
  <si>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</si>
  <si>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</si>
  <si>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</si>
  <si>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</si>
  <si>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</si>
  <si>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</si>
  <si>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</si>
  <si>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</si>
  <si>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</si>
  <si>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</si>
  <si>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</si>
  <si>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</si>
  <si>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</si>
  <si>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</si>
  <si>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</si>
  <si>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</si>
  <si>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</si>
  <si>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Potenziale (V)</t>
  </si>
  <si>
    <t xml:space="preserve">θ corretto</t>
  </si>
  <si>
    <t xml:space="preserve">Potenziale fisso</t>
  </si>
  <si>
    <t xml:space="preserve">d=7 cm</t>
  </si>
  <si>
    <t>B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</si>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</sst>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3" borderId="0" numFmtId="0" xfId="0" applyFill="1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customXml" Target="../customXml/item1.xml"/><Relationship  Id="rId6" Type="http://schemas.openxmlformats.org/officeDocument/2006/relationships/customXml" Target="../customXml/item2.xml"/><Relationship  Id="rId7" Type="http://schemas.openxmlformats.org/officeDocument/2006/relationships/customXml" Target="../customXml/item3.xml"/><Relationship  Id="rId8" Type="http://schemas.openxmlformats.org/officeDocument/2006/relationships/customXml" Target="../customXml/item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  <c r="J1" s="4" t="s">
        <v>3</v>
      </c>
    </row>
    <row r="2">
      <c r="B2" s="5">
        <v>5.9999999999999998e-002</v>
      </c>
      <c r="C2" s="5">
        <v>8.0000000000000002e-002</v>
      </c>
      <c r="D2" s="6">
        <v>0.10000000000000001</v>
      </c>
      <c r="E2" s="5">
        <v>0.14999999999999999</v>
      </c>
      <c r="F2" s="5">
        <v>0.17999999999999999</v>
      </c>
      <c r="G2" s="5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7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8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9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10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10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10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10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11"/>
    </row>
    <row r="11">
      <c r="A11" s="10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10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10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10" t="s">
        <v>12</v>
      </c>
      <c r="B15">
        <v>1.e-003</v>
      </c>
      <c r="C15">
        <v>1.e-003</v>
      </c>
      <c r="D15">
        <v>1.e-003</v>
      </c>
      <c r="E15" s="12">
        <v>1.e-003</v>
      </c>
      <c r="F15" s="12">
        <v>1.e-003</v>
      </c>
      <c r="G15" s="12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13" t="s">
        <v>13</v>
      </c>
      <c r="B1" s="14" t="s">
        <v>14</v>
      </c>
      <c r="C1" s="15" t="s">
        <v>4</v>
      </c>
      <c r="D1" s="13" t="s">
        <v>15</v>
      </c>
      <c r="E1" s="14" t="s">
        <v>16</v>
      </c>
      <c r="F1" s="3" t="s">
        <v>1</v>
      </c>
      <c r="G1" s="3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6">
        <v>5.2359877999999999e-002</v>
      </c>
      <c r="F2" s="16">
        <v>3.9050000000000001e-002</v>
      </c>
      <c r="G2" s="16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>RADIANS(C3)</f>
        <v>1.0821041362364843</v>
      </c>
      <c r="E3" s="16">
        <v>5.2359877999999999e-002</v>
      </c>
      <c r="F3" s="4" t="s">
        <v>0</v>
      </c>
      <c r="G3" s="4" t="s">
        <v>3</v>
      </c>
    </row>
    <row r="4">
      <c r="A4">
        <v>5000</v>
      </c>
      <c r="B4">
        <v>10</v>
      </c>
      <c r="C4">
        <v>48</v>
      </c>
      <c r="D4">
        <f>RADIANS(C4)</f>
        <v>0.83775804095727813</v>
      </c>
      <c r="E4" s="16">
        <v>5.2359877999999999e-002</v>
      </c>
      <c r="F4">
        <f>F2+0.07</f>
        <v>0.10905000000000001</v>
      </c>
      <c r="G4" s="16">
        <v>1.e-003</v>
      </c>
    </row>
    <row r="5">
      <c r="A5">
        <v>4500</v>
      </c>
      <c r="B5">
        <v>10</v>
      </c>
      <c r="C5">
        <v>41</v>
      </c>
      <c r="D5">
        <f>RADIANS(C5)</f>
        <v>0.715584993317675</v>
      </c>
      <c r="E5" s="16">
        <v>5.2359877999999999e-002</v>
      </c>
    </row>
    <row r="6">
      <c r="A6">
        <v>4000</v>
      </c>
      <c r="B6">
        <v>10</v>
      </c>
      <c r="C6">
        <v>35</v>
      </c>
      <c r="D6">
        <f>RADIANS(C6)</f>
        <v>0.6108652381980153</v>
      </c>
      <c r="E6" s="16">
        <v>5.2359877999999999e-002</v>
      </c>
    </row>
    <row r="7">
      <c r="A7">
        <v>3500</v>
      </c>
      <c r="B7">
        <v>10</v>
      </c>
      <c r="C7">
        <v>23</v>
      </c>
      <c r="D7">
        <f>RADIANS(C7)</f>
        <v>0.40142572795869574</v>
      </c>
      <c r="E7" s="16">
        <v>5.2359877999999999e-002</v>
      </c>
    </row>
    <row r="8">
      <c r="A8">
        <v>3000</v>
      </c>
      <c r="B8">
        <v>10</v>
      </c>
      <c r="C8">
        <v>20</v>
      </c>
      <c r="D8">
        <f>RADIANS(C8)</f>
        <v>0.3490658503988659</v>
      </c>
      <c r="E8" s="16">
        <v>5.2359877999999999e-002</v>
      </c>
    </row>
    <row r="9">
      <c r="A9">
        <v>2500</v>
      </c>
      <c r="B9">
        <v>10</v>
      </c>
      <c r="C9">
        <v>14</v>
      </c>
      <c r="D9">
        <f>RADIANS(C9)</f>
        <v>0.24434609527920614</v>
      </c>
      <c r="E9" s="16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6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5" t="s">
        <v>18</v>
      </c>
      <c r="B1" s="15" t="s">
        <v>4</v>
      </c>
      <c r="C1" s="5" t="s">
        <v>15</v>
      </c>
      <c r="D1" t="s">
        <v>19</v>
      </c>
      <c r="E1" s="17" t="s">
        <v>20</v>
      </c>
      <c r="F1" t="s">
        <v>21</v>
      </c>
    </row>
    <row r="2">
      <c r="A2">
        <v>6000</v>
      </c>
      <c r="B2">
        <v>70</v>
      </c>
      <c r="C2">
        <f t="shared" ref="C2:C10" si="0">RADIANS(B2)</f>
        <v>1.2217304763960306</v>
      </c>
      <c r="D2">
        <f t="shared" ref="D2:D9" si="1">C2/$B$12</f>
        <v>1.4966195743706272</v>
      </c>
      <c r="E2">
        <v>6000</v>
      </c>
    </row>
    <row r="3">
      <c r="A3">
        <v>5500</v>
      </c>
      <c r="B3">
        <v>65</v>
      </c>
      <c r="C3">
        <f t="shared" si="0"/>
        <v>1.1344640137963142</v>
      </c>
      <c r="D3">
        <f t="shared" si="1"/>
        <v>1.3897181762012969</v>
      </c>
    </row>
    <row r="4">
      <c r="A4">
        <v>5000</v>
      </c>
      <c r="B4">
        <v>61</v>
      </c>
      <c r="C4">
        <f t="shared" si="0"/>
        <v>1.064650843716541</v>
      </c>
      <c r="D4">
        <f t="shared" si="1"/>
        <v>1.3041970576658324</v>
      </c>
    </row>
    <row r="5">
      <c r="A5">
        <v>4500</v>
      </c>
      <c r="B5">
        <v>59</v>
      </c>
      <c r="C5">
        <f t="shared" si="0"/>
        <v>1.0297442586766545</v>
      </c>
      <c r="D5">
        <f t="shared" si="1"/>
        <v>1.2614364983981003</v>
      </c>
    </row>
    <row r="6">
      <c r="A6">
        <v>4000</v>
      </c>
      <c r="B6">
        <v>52</v>
      </c>
      <c r="C6">
        <f t="shared" si="0"/>
        <v>0.90757121103705141</v>
      </c>
      <c r="D6">
        <f t="shared" si="1"/>
        <v>1.1117745409610376</v>
      </c>
    </row>
    <row r="7">
      <c r="A7">
        <v>3500</v>
      </c>
      <c r="B7">
        <v>43</v>
      </c>
      <c r="C7">
        <f t="shared" si="0"/>
        <v>0.75049157835756175</v>
      </c>
      <c r="D7">
        <f t="shared" si="1"/>
        <v>0.91935202425624252</v>
      </c>
    </row>
    <row r="8">
      <c r="A8">
        <v>3000</v>
      </c>
      <c r="B8">
        <v>39</v>
      </c>
      <c r="C8">
        <f t="shared" si="0"/>
        <v>0.68067840827778847</v>
      </c>
      <c r="D8">
        <f t="shared" si="1"/>
        <v>0.833830905720778</v>
      </c>
    </row>
    <row r="9">
      <c r="A9">
        <v>2500</v>
      </c>
      <c r="B9">
        <v>35</v>
      </c>
      <c r="C9">
        <f t="shared" si="0"/>
        <v>0.6108652381980153</v>
      </c>
      <c r="D9">
        <f t="shared" si="1"/>
        <v>0.7483097871853136</v>
      </c>
    </row>
    <row r="10">
      <c r="A10">
        <v>2000</v>
      </c>
      <c r="B10">
        <v>28</v>
      </c>
      <c r="C10">
        <f t="shared" si="0"/>
        <v>0.48869219055841229</v>
      </c>
      <c r="D10">
        <f>C10/$B$12</f>
        <v>0.59864782974825093</v>
      </c>
    </row>
    <row r="12">
      <c r="A12" t="s">
        <v>22</v>
      </c>
      <c r="B12">
        <v>0.81632667199999998</v>
      </c>
    </row>
    <row r="13">
      <c r="H13" s="1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5" t="s">
        <v>23</v>
      </c>
      <c r="B1" s="15" t="s">
        <v>4</v>
      </c>
      <c r="C1" s="5" t="s">
        <v>15</v>
      </c>
      <c r="D1" s="5" t="s">
        <v>24</v>
      </c>
    </row>
    <row r="2">
      <c r="A2">
        <f>2*10^(-5)</f>
        <v>2.0000000000000002e-005</v>
      </c>
      <c r="B2">
        <v>136</v>
      </c>
      <c r="C2">
        <f t="shared" ref="C2:C6" si="2">RADIANS(B2)</f>
        <v>2.3736477827122884</v>
      </c>
    </row>
    <row r="3">
      <c r="A3">
        <v>4.0000000000000003e-005</v>
      </c>
      <c r="B3">
        <v>282</v>
      </c>
      <c r="C3">
        <f t="shared" si="2"/>
        <v>4.9218284906240095</v>
      </c>
    </row>
    <row r="4">
      <c r="A4">
        <v>5.0000000000000002e-005</v>
      </c>
      <c r="B4">
        <v>355</v>
      </c>
      <c r="C4">
        <f t="shared" si="2"/>
        <v>6.1959188445798699</v>
      </c>
    </row>
    <row r="5">
      <c r="A5">
        <v>6.9999999999999994e-005</v>
      </c>
      <c r="B5">
        <v>500</v>
      </c>
      <c r="C5">
        <f t="shared" si="2"/>
        <v>8.7266462599716483</v>
      </c>
    </row>
    <row r="6">
      <c r="A6">
        <v>9.0000000000000006e-005</v>
      </c>
      <c r="B6" s="18">
        <v>645</v>
      </c>
      <c r="C6">
        <f t="shared" si="2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2</cp:revision>
  <dcterms:created xsi:type="dcterms:W3CDTF">2026-04-28T05:59:56Z</dcterms:created>
  <dcterms:modified xsi:type="dcterms:W3CDTF">2026-05-07T17:59:09Z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