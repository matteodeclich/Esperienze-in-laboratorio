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323" documentId="8_{8D9233A0-64A1-41E5-BFAF-E6A5D8A8E479}" xr6:coauthVersionLast="47" xr6:coauthVersionMax="47" xr10:uidLastSave="{391FD1E6-77F5-49EA-BD01-BE999E7604F7}"/>
  <bookViews>
    <workbookView xWindow="-83" yWindow="0" windowWidth="10965" windowHeight="12863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" l="1"/>
  <c r="F8" i="4"/>
  <c r="E8" i="4"/>
  <c r="D8" i="4"/>
  <c r="C8" i="4"/>
  <c r="B8" i="4"/>
  <c r="F7" i="4"/>
  <c r="E7" i="4"/>
  <c r="D7" i="4"/>
  <c r="C7" i="4"/>
  <c r="B7" i="4"/>
  <c r="C7" i="1"/>
  <c r="D7" i="1"/>
  <c r="E7" i="1"/>
  <c r="F7" i="1"/>
  <c r="C6" i="1"/>
  <c r="D6" i="1"/>
  <c r="E6" i="1"/>
  <c r="F6" i="1"/>
  <c r="B6" i="1"/>
</calcChain>
</file>

<file path=xl/sharedStrings.xml><?xml version="1.0" encoding="utf-8"?>
<sst xmlns="http://schemas.openxmlformats.org/spreadsheetml/2006/main" count="21" uniqueCount="14">
  <si>
    <t>θ</t>
  </si>
  <si>
    <t>Media</t>
  </si>
  <si>
    <t>Dev.std</t>
  </si>
  <si>
    <t>Potenziale fisso</t>
  </si>
  <si>
    <t>Massa (mg)</t>
  </si>
  <si>
    <t>diametro</t>
  </si>
  <si>
    <t>39,5 mm</t>
  </si>
  <si>
    <t>d_0</t>
  </si>
  <si>
    <t>3,9 cm</t>
  </si>
  <si>
    <t>Err.Media</t>
  </si>
  <si>
    <t>r (cm)</t>
  </si>
  <si>
    <t xml:space="preserve">                                                                                                       </t>
  </si>
  <si>
    <t>Potenziale (kV)</t>
  </si>
  <si>
    <t>d=7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</si>
</sst>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2" borderId="0" xfId="0" applyFill="1" applyAlignment="1">
      <alignment horizontal="center"/>
    </xf>
    <xf numFmtId="0" fontId="1" fillId="0" borderId="0" xfId="0" applyFont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vertical="center"/>
    </xf>
    <xf numFmtId="0" fontId="2" fillId="0" borderId="0" xfId="0" applyFont="1"/>
    <xf numFmtId="0" fontId="0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20"/>
  <sheetViews>
    <sheetView tabSelected="1" workbookViewId="0">
      <selection activeCell="D15" sqref="D15"/>
    </sheetView>
  </sheetViews>
  <sheetFormatPr defaultRowHeight="14.25" x14ac:dyDescent="0.45"/>
  <cols>
    <col min="8" max="8" width="10.53125" customWidth="1"/>
  </cols>
  <sheetData>
    <row r="1" spans="1:9" x14ac:dyDescent="0.45">
      <c r="B1" s="4" t="s">
        <v>10</v>
      </c>
      <c r="C1" s="4"/>
      <c r="D1" s="4"/>
      <c r="E1" s="4"/>
      <c r="F1" s="4"/>
      <c r="H1" s="2" t="s">
        <v>7</v>
      </c>
      <c r="I1" s="2" t="s">
        <v>5</v>
      </c>
    </row>
    <row r="2" spans="1:9" x14ac:dyDescent="0.45">
      <c r="B2" s="3">
        <v>6</v>
      </c>
      <c r="C2" s="3">
        <v>10</v>
      </c>
      <c r="D2" s="3">
        <v>15</v>
      </c>
      <c r="E2" s="3">
        <v>18</v>
      </c>
      <c r="F2" s="3">
        <v>20</v>
      </c>
      <c r="H2" t="s">
        <v>8</v>
      </c>
      <c r="I2" t="s">
        <v>6</v>
      </c>
    </row>
    <row r="3" spans="1:9" x14ac:dyDescent="0.45">
      <c r="A3" s="6" t="s">
        <v>0</v>
      </c>
      <c r="B3">
        <v>95</v>
      </c>
      <c r="C3">
        <v>46</v>
      </c>
      <c r="D3">
        <v>24</v>
      </c>
      <c r="E3">
        <v>14</v>
      </c>
      <c r="F3">
        <v>10</v>
      </c>
      <c r="G3" s="5"/>
    </row>
    <row r="4" spans="1:9" x14ac:dyDescent="0.45">
      <c r="A4" s="6"/>
      <c r="B4">
        <v>92</v>
      </c>
      <c r="C4">
        <v>44</v>
      </c>
      <c r="D4">
        <v>25</v>
      </c>
      <c r="E4">
        <v>15</v>
      </c>
      <c r="F4">
        <v>11</v>
      </c>
    </row>
    <row r="5" spans="1:9" x14ac:dyDescent="0.45">
      <c r="A5" s="6"/>
      <c r="B5">
        <v>94</v>
      </c>
      <c r="C5">
        <v>45</v>
      </c>
      <c r="D5">
        <v>24</v>
      </c>
      <c r="E5">
        <v>15</v>
      </c>
      <c r="F5">
        <v>10</v>
      </c>
    </row>
    <row r="6" spans="1:9" x14ac:dyDescent="0.45">
      <c r="A6" s="3" t="s">
        <v>1</v>
      </c>
      <c r="B6">
        <f>AVERAGE(B3:B5)</f>
        <v>93.666666666666671</v>
      </c>
      <c r="C6">
        <f>AVERAGE(C3:C5)</f>
        <v>45</v>
      </c>
      <c r="D6">
        <f>AVERAGE(D3:D5)</f>
        <v>24.333333333333332</v>
      </c>
      <c r="E6">
        <f>AVERAGE(E3:E5)</f>
        <v>14.666666666666666</v>
      </c>
      <c r="F6">
        <f>AVERAGE(F3:F5)</f>
        <v>10.333333333333334</v>
      </c>
    </row>
    <row r="7" spans="1:9" x14ac:dyDescent="0.45">
      <c r="A7" s="3" t="s">
        <v>2</v>
      </c>
      <c r="B7">
        <f>_xlfn.STDEV.S(B3:B5)</f>
        <v>1.5275252316519468</v>
      </c>
      <c r="C7">
        <f>_xlfn.STDEV.S(C3:C5)</f>
        <v>1</v>
      </c>
      <c r="D7">
        <f>_xlfn.STDEV.S(D3:D5)</f>
        <v>0.57735026918962584</v>
      </c>
      <c r="E7">
        <f>_xlfn.STDEV.S(E3:E5)</f>
        <v>0.57735026918962573</v>
      </c>
      <c r="F7">
        <f>_xlfn.STDEV.S(F3:F5)</f>
        <v>0.57735026918962573</v>
      </c>
    </row>
    <row r="8" spans="1:9" x14ac:dyDescent="0.45">
      <c r="A8" s="3" t="s">
        <v>9</v>
      </c>
      <c r="B8">
        <v>2.5</v>
      </c>
      <c r="C8">
        <v>2.5</v>
      </c>
      <c r="D8">
        <v>2</v>
      </c>
      <c r="E8">
        <v>2</v>
      </c>
      <c r="F8">
        <v>2</v>
      </c>
    </row>
    <row r="12" spans="1:9" x14ac:dyDescent="0.45">
      <c r="C12" s="5"/>
    </row>
    <row r="14" spans="1:9" x14ac:dyDescent="0.45">
      <c r="E14" s="9"/>
    </row>
    <row r="15" spans="1:9" x14ac:dyDescent="0.45">
      <c r="C15" s="5"/>
    </row>
    <row r="20" spans="4:4" x14ac:dyDescent="0.45">
      <c r="D20" s="9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0"/>
  <sheetViews>
    <sheetView workbookViewId="0">
      <selection activeCell="D15" sqref="D15:D16"/>
    </sheetView>
  </sheetViews>
  <sheetFormatPr defaultRowHeight="14.25" x14ac:dyDescent="0.45"/>
  <cols>
    <col min="1" max="1" width="14.265625" customWidth="1"/>
    <col min="12" max="12" width="13.86328125" customWidth="1"/>
  </cols>
  <sheetData>
    <row r="1" spans="1:14" x14ac:dyDescent="0.45">
      <c r="A1" s="3" t="s">
        <v>12</v>
      </c>
      <c r="B1" s="7" t="s">
        <v>0</v>
      </c>
      <c r="D1" t="s">
        <v>13</v>
      </c>
    </row>
    <row r="2" spans="1:14" x14ac:dyDescent="0.45">
      <c r="A2">
        <v>6</v>
      </c>
      <c r="B2">
        <v>70</v>
      </c>
      <c r="N2" t="s">
        <v>11</v>
      </c>
    </row>
    <row r="3" spans="1:14" x14ac:dyDescent="0.45">
      <c r="A3">
        <v>5.5</v>
      </c>
      <c r="B3">
        <v>62</v>
      </c>
    </row>
    <row r="4" spans="1:14" x14ac:dyDescent="0.45">
      <c r="A4">
        <v>5</v>
      </c>
      <c r="B4">
        <v>48</v>
      </c>
    </row>
    <row r="5" spans="1:14" x14ac:dyDescent="0.45">
      <c r="A5">
        <v>4.5</v>
      </c>
      <c r="B5">
        <v>41</v>
      </c>
    </row>
    <row r="6" spans="1:14" x14ac:dyDescent="0.45">
      <c r="A6">
        <v>4</v>
      </c>
      <c r="B6">
        <v>35</v>
      </c>
    </row>
    <row r="7" spans="1:14" x14ac:dyDescent="0.45">
      <c r="A7">
        <v>3.5</v>
      </c>
      <c r="B7">
        <v>23</v>
      </c>
    </row>
    <row r="8" spans="1:14" x14ac:dyDescent="0.45">
      <c r="A8">
        <v>3</v>
      </c>
      <c r="B8">
        <v>20</v>
      </c>
    </row>
    <row r="9" spans="1:14" x14ac:dyDescent="0.45">
      <c r="A9">
        <v>2.5</v>
      </c>
      <c r="B9">
        <v>14</v>
      </c>
    </row>
    <row r="10" spans="1:14" x14ac:dyDescent="0.45">
      <c r="A10">
        <v>2</v>
      </c>
      <c r="B10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13"/>
  <sheetViews>
    <sheetView workbookViewId="0">
      <selection activeCell="D9" sqref="D9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s="3" t="s">
        <v>12</v>
      </c>
      <c r="B1" s="7" t="s">
        <v>0</v>
      </c>
      <c r="C1" s="8" t="s">
        <v>3</v>
      </c>
      <c r="E1" t="s">
        <v>13</v>
      </c>
    </row>
    <row r="2" spans="1:8" x14ac:dyDescent="0.45">
      <c r="A2">
        <v>6</v>
      </c>
      <c r="B2">
        <v>70</v>
      </c>
      <c r="C2">
        <v>6</v>
      </c>
    </row>
    <row r="3" spans="1:8" x14ac:dyDescent="0.45">
      <c r="A3">
        <v>5.5</v>
      </c>
      <c r="B3">
        <v>65</v>
      </c>
    </row>
    <row r="4" spans="1:8" x14ac:dyDescent="0.45">
      <c r="A4">
        <v>5</v>
      </c>
      <c r="B4">
        <v>61</v>
      </c>
    </row>
    <row r="5" spans="1:8" x14ac:dyDescent="0.45">
      <c r="A5">
        <v>4.5</v>
      </c>
      <c r="B5">
        <v>59</v>
      </c>
    </row>
    <row r="6" spans="1:8" x14ac:dyDescent="0.45">
      <c r="A6">
        <v>4</v>
      </c>
      <c r="B6">
        <v>52</v>
      </c>
    </row>
    <row r="7" spans="1:8" x14ac:dyDescent="0.45">
      <c r="A7">
        <v>3.5</v>
      </c>
      <c r="B7">
        <v>43</v>
      </c>
    </row>
    <row r="8" spans="1:8" x14ac:dyDescent="0.45">
      <c r="A8">
        <v>3</v>
      </c>
      <c r="B8">
        <v>39</v>
      </c>
    </row>
    <row r="9" spans="1:8" x14ac:dyDescent="0.45">
      <c r="A9">
        <v>2.5</v>
      </c>
      <c r="B9">
        <v>35</v>
      </c>
    </row>
    <row r="10" spans="1:8" x14ac:dyDescent="0.45">
      <c r="A10">
        <v>2</v>
      </c>
      <c r="B10">
        <v>28</v>
      </c>
    </row>
    <row r="13" spans="1:8" x14ac:dyDescent="0.45">
      <c r="H13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4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1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2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2026-04-28T12:43:29Z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