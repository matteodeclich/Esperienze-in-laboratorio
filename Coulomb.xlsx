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1" documentId="8_{8D9233A0-64A1-41E5-BFAF-E6A5D8A8E479}" xr6:coauthVersionLast="47" xr6:coauthVersionMax="47" xr10:uidLastSave="{BE87AC7B-1335-48AB-87C8-A84E90CDE6CA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" i="1" l="1"/>
  <c r="B7" i="1"/>
  <c r="B6" i="1"/>
  <c r="F8" i="4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6" i="1"/>
  <c r="C7" i="1" s="1"/>
  <c r="D6" i="1"/>
  <c r="D7" i="1" s="1"/>
  <c r="E6" i="1"/>
  <c r="E7" i="1" s="1"/>
  <c r="F6" i="1"/>
  <c r="C5" i="1"/>
  <c r="D5" i="1"/>
  <c r="E5" i="1"/>
  <c r="F5" i="1"/>
  <c r="B5" i="1"/>
</calcChain>
</file>

<file path=xl/sharedStrings.xml><?xml version="1.0" encoding="utf-8"?>
<sst xmlns="http://schemas.openxmlformats.org/spreadsheetml/2006/main" count="29" uniqueCount="19">
  <si>
    <t>θ</t>
  </si>
  <si>
    <t>r</t>
  </si>
  <si>
    <t>Media</t>
  </si>
  <si>
    <t>6 cm</t>
  </si>
  <si>
    <t>10 cm</t>
  </si>
  <si>
    <t>15 cm</t>
  </si>
  <si>
    <t>18 cm</t>
  </si>
  <si>
    <t>20 cm</t>
  </si>
  <si>
    <t>Dev.std</t>
  </si>
  <si>
    <t>Potenziale</t>
  </si>
  <si>
    <t>Distanza</t>
  </si>
  <si>
    <t>Potenziale variabile</t>
  </si>
  <si>
    <t>Potenziale fisso</t>
  </si>
  <si>
    <t>Massa (mg)</t>
  </si>
  <si>
    <t>diametro</t>
  </si>
  <si>
    <t>39,5 mm</t>
  </si>
  <si>
    <t>d_0</t>
  </si>
  <si>
    <t>3,9 cm</t>
  </si>
  <si>
    <t>Err.Media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</si>
</sst>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7"/>
  <sheetViews>
    <sheetView tabSelected="1" workbookViewId="0">
      <selection sqref="A1:F7"/>
    </sheetView>
  </sheetViews>
  <sheetFormatPr defaultRowHeight="14.25" x14ac:dyDescent="0.45"/>
  <cols>
    <col min="8" max="8" width="10.53125" customWidth="1"/>
  </cols>
  <sheetData>
    <row r="1" spans="1:9" x14ac:dyDescent="0.45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H1" s="2" t="s">
        <v>16</v>
      </c>
      <c r="I1" s="2" t="s">
        <v>14</v>
      </c>
    </row>
    <row r="2" spans="1:9" x14ac:dyDescent="0.45">
      <c r="A2" s="1" t="s">
        <v>0</v>
      </c>
      <c r="B2">
        <v>75</v>
      </c>
      <c r="C2">
        <v>46</v>
      </c>
      <c r="D2">
        <v>21</v>
      </c>
      <c r="E2">
        <v>14</v>
      </c>
      <c r="H2" t="s">
        <v>17</v>
      </c>
      <c r="I2" t="s">
        <v>15</v>
      </c>
    </row>
    <row r="3" spans="1:9" x14ac:dyDescent="0.45">
      <c r="A3" s="1"/>
      <c r="B3">
        <v>77</v>
      </c>
      <c r="C3">
        <v>44</v>
      </c>
      <c r="D3">
        <v>20</v>
      </c>
    </row>
    <row r="4" spans="1:9" x14ac:dyDescent="0.45">
      <c r="A4" s="1"/>
      <c r="B4">
        <v>74</v>
      </c>
      <c r="C4">
        <v>45</v>
      </c>
      <c r="D4">
        <v>22</v>
      </c>
    </row>
    <row r="5" spans="1:9" x14ac:dyDescent="0.45">
      <c r="A5" t="s">
        <v>2</v>
      </c>
      <c r="B5">
        <f>AVERAGE(B2:B4)</f>
        <v>75.333333333333329</v>
      </c>
      <c r="C5">
        <f>AVERAGE(C2:C4)</f>
        <v>45</v>
      </c>
      <c r="D5">
        <f>AVERAGE(D2:D4)</f>
        <v>21</v>
      </c>
      <c r="E5">
        <f>AVERAGE(E2:E4)</f>
        <v>14</v>
      </c>
      <c r="F5" t="e">
        <f>AVERAGE(F2:F4)</f>
        <v>#DIV/0!</v>
      </c>
    </row>
    <row r="6" spans="1:9" x14ac:dyDescent="0.45">
      <c r="A6" t="s">
        <v>8</v>
      </c>
      <c r="B6">
        <f>_xlfn.STDEV.S(B2:B4)</f>
        <v>1.5275252316519468</v>
      </c>
      <c r="C6">
        <f>_xlfn.STDEV.S(C2:C4)</f>
        <v>1</v>
      </c>
      <c r="D6">
        <f>_xlfn.STDEV.S(D2:D4)</f>
        <v>1</v>
      </c>
      <c r="E6" t="e">
        <f>_xlfn.STDEV.S(E2:E4)</f>
        <v>#DIV/0!</v>
      </c>
      <c r="F6" t="e">
        <f>_xlfn.STDEV.S(F2:F4)</f>
        <v>#DIV/0!</v>
      </c>
    </row>
    <row r="7" spans="1:9" x14ac:dyDescent="0.45">
      <c r="A7" t="s">
        <v>18</v>
      </c>
      <c r="B7">
        <f>B6/SQRT(COUNT(B2:B4))</f>
        <v>0.88191710368819698</v>
      </c>
      <c r="C7">
        <f t="shared" ref="C7:F7" si="0">C6/SQRT(COUNT(C2:C4))</f>
        <v>0.57735026918962584</v>
      </c>
      <c r="D7">
        <f t="shared" si="0"/>
        <v>0.57735026918962584</v>
      </c>
      <c r="E7" t="e">
        <f t="shared" si="0"/>
        <v>#DIV/0!</v>
      </c>
      <c r="F7" t="e">
        <f t="shared" si="0"/>
        <v>#DIV/0!</v>
      </c>
    </row>
  </sheetData>
  <mergeCells count="1">
    <mergeCell ref="A2:A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G8"/>
  <sheetViews>
    <sheetView workbookViewId="0">
      <selection activeCell="G2" sqref="G2"/>
    </sheetView>
  </sheetViews>
  <sheetFormatPr defaultRowHeight="14.25" x14ac:dyDescent="0.45"/>
  <sheetData>
    <row r="1" spans="1:7" x14ac:dyDescent="0.45">
      <c r="A1" s="2" t="s">
        <v>9</v>
      </c>
      <c r="B1" s="2"/>
      <c r="C1" s="2"/>
      <c r="D1" s="2"/>
      <c r="E1" s="2"/>
      <c r="F1" s="2"/>
      <c r="G1" s="3" t="s">
        <v>10</v>
      </c>
    </row>
    <row r="2" spans="1:7" x14ac:dyDescent="0.45">
      <c r="A2" s="1" t="s">
        <v>0</v>
      </c>
    </row>
    <row r="3" spans="1:7" x14ac:dyDescent="0.45">
      <c r="A3" s="1"/>
    </row>
    <row r="4" spans="1:7" x14ac:dyDescent="0.45">
      <c r="A4" s="1"/>
    </row>
    <row r="5" spans="1:7" x14ac:dyDescent="0.45">
      <c r="A5" s="1"/>
    </row>
    <row r="6" spans="1:7" x14ac:dyDescent="0.45">
      <c r="A6" s="1"/>
    </row>
    <row r="7" spans="1:7" x14ac:dyDescent="0.45">
      <c r="A7" s="4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7" x14ac:dyDescent="0.45">
      <c r="A8" s="4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11</v>
      </c>
      <c r="G1" t="s">
        <v>10</v>
      </c>
      <c r="H1" t="s">
        <v>12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2026-04-28T09:56:07Z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