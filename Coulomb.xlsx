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93" documentId="8_{8D9233A0-64A1-41E5-BFAF-E6A5D8A8E479}" xr6:coauthVersionLast="47" xr6:coauthVersionMax="47" xr10:uidLastSave="{746E5F5C-621F-4AF8-A0E0-174D9D8CB189}"/>
  <bookViews>
    <workbookView xWindow="-98" yWindow="-98" windowWidth="21795" windowHeight="12975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7" i="1" l="1"/>
  <c r="B8" i="1" s="1"/>
  <c r="F8" i="4"/>
  <c r="E8" i="4"/>
  <c r="D8" i="4"/>
  <c r="C8" i="4"/>
  <c r="B8" i="4"/>
  <c r="F7" i="4"/>
  <c r="E7" i="4"/>
  <c r="D7" i="4"/>
  <c r="C7" i="4"/>
  <c r="B7" i="4"/>
  <c r="F8" i="3"/>
  <c r="E8" i="3"/>
  <c r="D8" i="3"/>
  <c r="C8" i="3"/>
  <c r="B8" i="3"/>
  <c r="F7" i="3"/>
  <c r="E7" i="3"/>
  <c r="D7" i="3"/>
  <c r="C7" i="3"/>
  <c r="B7" i="3"/>
  <c r="F8" i="2"/>
  <c r="E8" i="2"/>
  <c r="D8" i="2"/>
  <c r="C8" i="2"/>
  <c r="B8" i="2"/>
  <c r="F7" i="2"/>
  <c r="E7" i="2"/>
  <c r="D7" i="2"/>
  <c r="C7" i="2"/>
  <c r="B7" i="2"/>
  <c r="C7" i="1"/>
  <c r="C8" i="1" s="1"/>
  <c r="D7" i="1"/>
  <c r="D8" i="1" s="1"/>
  <c r="E7" i="1"/>
  <c r="E8" i="1" s="1"/>
  <c r="F7" i="1"/>
  <c r="F8" i="1" s="1"/>
  <c r="C6" i="1"/>
  <c r="D6" i="1"/>
  <c r="E6" i="1"/>
  <c r="F6" i="1"/>
  <c r="B6" i="1"/>
</calcChain>
</file>

<file path=xl/sharedStrings.xml><?xml version="1.0" encoding="utf-8"?>
<sst xmlns="http://schemas.openxmlformats.org/spreadsheetml/2006/main" count="29" uniqueCount="19">
  <si>
    <t>θ</t>
  </si>
  <si>
    <t>r</t>
  </si>
  <si>
    <t>Media</t>
  </si>
  <si>
    <t>6 cm</t>
  </si>
  <si>
    <t>10 cm</t>
  </si>
  <si>
    <t>15 cm</t>
  </si>
  <si>
    <t>18 cm</t>
  </si>
  <si>
    <t>20 cm</t>
  </si>
  <si>
    <t>Dev.std</t>
  </si>
  <si>
    <t>Potenziale</t>
  </si>
  <si>
    <t>Distanza</t>
  </si>
  <si>
    <t>Potenziale variabile</t>
  </si>
  <si>
    <t>Potenziale fisso</t>
  </si>
  <si>
    <t>Massa (mg)</t>
  </si>
  <si>
    <t>diametro</t>
  </si>
  <si>
    <t>39,5 mm</t>
  </si>
  <si>
    <t>d_0</t>
  </si>
  <si>
    <t>3,9 cm</t>
  </si>
  <si>
    <t>Err.Media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</si>
</sst>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2" borderId="0" xfId="0" applyFill="1" applyAlignment="1">
      <alignment horizontal="center"/>
    </xf>
    <xf numFmtId="0" fontId="1" fillId="0" borderId="0" xfId="0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5"/>
  <sheetViews>
    <sheetView tabSelected="1" workbookViewId="0">
      <selection activeCell="H12" sqref="H12"/>
    </sheetView>
  </sheetViews>
  <sheetFormatPr defaultRowHeight="14.25" x14ac:dyDescent="0.45"/>
  <cols>
    <col min="8" max="8" width="10.53125" customWidth="1"/>
  </cols>
  <sheetData>
    <row r="1" spans="1:9" x14ac:dyDescent="0.45">
      <c r="B1" s="5" t="s">
        <v>1</v>
      </c>
      <c r="C1" s="5"/>
      <c r="D1" s="5"/>
      <c r="E1" s="5"/>
      <c r="F1" s="5"/>
      <c r="H1" s="2" t="s">
        <v>16</v>
      </c>
      <c r="I1" s="2" t="s">
        <v>14</v>
      </c>
    </row>
    <row r="2" spans="1:9" x14ac:dyDescent="0.45"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H2" t="s">
        <v>17</v>
      </c>
      <c r="I2" t="s">
        <v>15</v>
      </c>
    </row>
    <row r="3" spans="1:9" x14ac:dyDescent="0.45">
      <c r="A3" s="1" t="s">
        <v>0</v>
      </c>
      <c r="B3">
        <v>75</v>
      </c>
      <c r="C3">
        <v>46</v>
      </c>
      <c r="D3">
        <v>21</v>
      </c>
      <c r="E3">
        <v>14</v>
      </c>
      <c r="F3">
        <v>10</v>
      </c>
    </row>
    <row r="4" spans="1:9" x14ac:dyDescent="0.45">
      <c r="A4" s="1"/>
      <c r="B4">
        <v>77</v>
      </c>
      <c r="C4">
        <v>44</v>
      </c>
      <c r="D4">
        <v>20</v>
      </c>
      <c r="E4">
        <v>15</v>
      </c>
      <c r="F4">
        <v>11</v>
      </c>
    </row>
    <row r="5" spans="1:9" x14ac:dyDescent="0.45">
      <c r="A5" s="1"/>
      <c r="B5">
        <v>74</v>
      </c>
      <c r="C5">
        <v>45</v>
      </c>
      <c r="D5">
        <v>22</v>
      </c>
      <c r="E5">
        <v>15</v>
      </c>
      <c r="F5">
        <v>10</v>
      </c>
    </row>
    <row r="6" spans="1:9" x14ac:dyDescent="0.45">
      <c r="A6" t="s">
        <v>2</v>
      </c>
      <c r="B6">
        <f>AVERAGE(B3:B5)</f>
        <v>75.333333333333329</v>
      </c>
      <c r="C6">
        <f>AVERAGE(C3:C5)</f>
        <v>45</v>
      </c>
      <c r="D6">
        <f>AVERAGE(D3:D5)</f>
        <v>21</v>
      </c>
      <c r="E6">
        <f>AVERAGE(E3:E5)</f>
        <v>14.666666666666666</v>
      </c>
      <c r="F6">
        <f>AVERAGE(F3:F5)</f>
        <v>10.333333333333334</v>
      </c>
    </row>
    <row r="7" spans="1:9" x14ac:dyDescent="0.45">
      <c r="A7" t="s">
        <v>8</v>
      </c>
      <c r="B7">
        <f>_xlfn.STDEV.S(B3:B5)</f>
        <v>1.5275252316519468</v>
      </c>
      <c r="C7">
        <f>_xlfn.STDEV.S(C3:C5)</f>
        <v>1</v>
      </c>
      <c r="D7">
        <f>_xlfn.STDEV.S(D3:D5)</f>
        <v>1</v>
      </c>
      <c r="E7">
        <f>_xlfn.STDEV.S(E3:E5)</f>
        <v>0.57735026918962573</v>
      </c>
      <c r="F7">
        <f>_xlfn.STDEV.S(F3:F5)</f>
        <v>0.57735026918962573</v>
      </c>
    </row>
    <row r="8" spans="1:9" x14ac:dyDescent="0.45">
      <c r="A8" t="s">
        <v>18</v>
      </c>
      <c r="B8">
        <f>B7/SQRT(COUNT(B3:B5))</f>
        <v>0.88191710368819698</v>
      </c>
      <c r="C8">
        <f t="shared" ref="C8:F8" si="0">C7/SQRT(COUNT(C3:C5))</f>
        <v>0.57735026918962584</v>
      </c>
      <c r="D8">
        <f t="shared" si="0"/>
        <v>0.57735026918962584</v>
      </c>
      <c r="E8">
        <f t="shared" si="0"/>
        <v>0.33333333333333331</v>
      </c>
      <c r="F8">
        <f t="shared" si="0"/>
        <v>0.33333333333333331</v>
      </c>
    </row>
    <row r="12" spans="1:9" x14ac:dyDescent="0.45">
      <c r="H12" s="6"/>
    </row>
    <row r="15" spans="1:9" x14ac:dyDescent="0.45">
      <c r="C15" s="6"/>
    </row>
  </sheetData>
  <mergeCells count="2">
    <mergeCell ref="B1:F1"/>
    <mergeCell ref="A3:A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G8"/>
  <sheetViews>
    <sheetView workbookViewId="0">
      <selection activeCell="G2" sqref="G2"/>
    </sheetView>
  </sheetViews>
  <sheetFormatPr defaultRowHeight="14.25" x14ac:dyDescent="0.45"/>
  <sheetData>
    <row r="1" spans="1:7" x14ac:dyDescent="0.45">
      <c r="A1" s="2" t="s">
        <v>9</v>
      </c>
      <c r="B1" s="2"/>
      <c r="C1" s="2"/>
      <c r="D1" s="2"/>
      <c r="E1" s="2"/>
      <c r="F1" s="2"/>
      <c r="G1" s="3" t="s">
        <v>10</v>
      </c>
    </row>
    <row r="2" spans="1:7" x14ac:dyDescent="0.45">
      <c r="A2" s="1" t="s">
        <v>0</v>
      </c>
    </row>
    <row r="3" spans="1:7" x14ac:dyDescent="0.45">
      <c r="A3" s="1"/>
    </row>
    <row r="4" spans="1:7" x14ac:dyDescent="0.45">
      <c r="A4" s="1"/>
    </row>
    <row r="5" spans="1:7" x14ac:dyDescent="0.45">
      <c r="A5" s="1"/>
    </row>
    <row r="6" spans="1:7" x14ac:dyDescent="0.45">
      <c r="A6" s="1"/>
    </row>
    <row r="7" spans="1:7" x14ac:dyDescent="0.45">
      <c r="A7" s="4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7" x14ac:dyDescent="0.45">
      <c r="A8" s="4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8"/>
  <sheetViews>
    <sheetView workbookViewId="0">
      <selection activeCell="G25" sqref="G25"/>
    </sheetView>
  </sheetViews>
  <sheetFormatPr defaultRowHeight="14.25" x14ac:dyDescent="0.45"/>
  <cols>
    <col min="1" max="1" width="17.46484375" customWidth="1"/>
    <col min="8" max="8" width="14.19921875" customWidth="1"/>
  </cols>
  <sheetData>
    <row r="1" spans="1:8" x14ac:dyDescent="0.45">
      <c r="A1" t="s">
        <v>11</v>
      </c>
      <c r="G1" t="s">
        <v>10</v>
      </c>
      <c r="H1" t="s">
        <v>12</v>
      </c>
    </row>
    <row r="2" spans="1:8" x14ac:dyDescent="0.45">
      <c r="A2" s="1" t="s">
        <v>0</v>
      </c>
    </row>
    <row r="3" spans="1:8" x14ac:dyDescent="0.45">
      <c r="A3" s="1"/>
    </row>
    <row r="4" spans="1:8" x14ac:dyDescent="0.45">
      <c r="A4" s="1"/>
    </row>
    <row r="5" spans="1:8" x14ac:dyDescent="0.45">
      <c r="A5" s="1"/>
    </row>
    <row r="6" spans="1:8" x14ac:dyDescent="0.45">
      <c r="A6" s="1"/>
    </row>
    <row r="7" spans="1:8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8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F8"/>
  <sheetViews>
    <sheetView workbookViewId="0">
      <selection activeCell="B2" sqref="B2"/>
    </sheetView>
  </sheetViews>
  <sheetFormatPr defaultRowHeight="14.25" x14ac:dyDescent="0.45"/>
  <cols>
    <col min="1" max="1" width="12.3984375" customWidth="1"/>
  </cols>
  <sheetData>
    <row r="1" spans="1:6" x14ac:dyDescent="0.45">
      <c r="A1" t="s">
        <v>13</v>
      </c>
      <c r="B1">
        <v>20</v>
      </c>
      <c r="C1">
        <v>40</v>
      </c>
      <c r="D1">
        <v>50</v>
      </c>
      <c r="E1">
        <v>70</v>
      </c>
      <c r="F1">
        <v>90</v>
      </c>
    </row>
    <row r="2" spans="1:6" x14ac:dyDescent="0.45">
      <c r="A2" s="1" t="s">
        <v>0</v>
      </c>
    </row>
    <row r="3" spans="1:6" x14ac:dyDescent="0.45">
      <c r="A3" s="1"/>
    </row>
    <row r="4" spans="1:6" x14ac:dyDescent="0.45">
      <c r="A4" s="1"/>
    </row>
    <row r="5" spans="1:6" x14ac:dyDescent="0.45">
      <c r="A5" s="1"/>
    </row>
    <row r="6" spans="1:6" x14ac:dyDescent="0.45">
      <c r="A6" s="1"/>
    </row>
    <row r="7" spans="1:6" x14ac:dyDescent="0.45">
      <c r="A7" t="s">
        <v>2</v>
      </c>
      <c r="B7" t="e">
        <f>AVERAGE(B2:B6)</f>
        <v>#DIV/0!</v>
      </c>
      <c r="C7" t="e">
        <f t="shared" ref="C7:F7" si="0">AVERAGE(C2:C6)</f>
        <v>#DIV/0!</v>
      </c>
      <c r="D7" t="e">
        <f t="shared" si="0"/>
        <v>#DIV/0!</v>
      </c>
      <c r="E7" t="e">
        <f t="shared" si="0"/>
        <v>#DIV/0!</v>
      </c>
      <c r="F7" t="e">
        <f t="shared" si="0"/>
        <v>#DIV/0!</v>
      </c>
    </row>
    <row r="8" spans="1:6" x14ac:dyDescent="0.45">
      <c r="A8" t="s">
        <v>8</v>
      </c>
      <c r="B8" t="e">
        <f>_xlfn.STDEV.S(B2:B6)</f>
        <v>#DIV/0!</v>
      </c>
      <c r="C8" t="e">
        <f t="shared" ref="C8:F8" si="1">_xlfn.STDEV.S(C2:C6)</f>
        <v>#DIV/0!</v>
      </c>
      <c r="D8" t="e">
        <f t="shared" si="1"/>
        <v>#DIV/0!</v>
      </c>
      <c r="E8" t="e">
        <f t="shared" si="1"/>
        <v>#DIV/0!</v>
      </c>
      <c r="F8" t="e">
        <f t="shared" si="1"/>
        <v>#DIV/0!</v>
      </c>
    </row>
  </sheetData>
  <mergeCells count="1">
    <mergeCell ref="A2:A6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Props1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72476d7-13f4-49c1-b8ad-54b424d3f22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84B2A05-BFD3-4270-A078-C7A8A4FE6EB9}">
  <ds:schemaRefs>
    <ds:schemaRef ds:uri="http://purl.org/dc/elements/1.1/"/>
    <ds:schemaRef ds:uri="http://www.w3.org/XML/1998/namespace"/>
    <ds:schemaRef ds:uri="d72476d7-13f4-49c1-b8ad-54b424d3f220"/>
    <ds:schemaRef ds:uri="http://purl.org/dc/terms/"/>
    <ds:schemaRef ds:uri="http://schemas.microsoft.com/office/infopath/2007/PartnerControls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2026-04-28T05:59:56Z</dcterms:created>
  <dcterms:modified xsi:type="dcterms:W3CDTF">2026-04-28T10:08:37Z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