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eriodi" sheetId="1" state="visible" r:id="rId1"/>
    <sheet name="Pendolo" sheetId="2" state="visible" r:id="rId2"/>
    <sheet name="Caduta liber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<sst xmlns="http://schemas.openxmlformats.org/spreadsheetml/2006/main" count="13" uniqueCount="13">
  <si>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D m.e. [m]</t>
  </si>
  <si>
    <t xml:space="preserve">D m.i. [m]</t>
  </si>
  <si>
    <t xml:space="preserve">T1 [s]</t>
  </si>
  <si>
    <t xml:space="preserve">T2 [s]</t>
  </si>
  <si>
    <t xml:space="preserve">Distanza m. interna</t>
  </si>
  <si>
    <t xml:space="preserve">0,915 m</t>
  </si>
  <si>
    <t xml:space="preserve">0,920 m</t>
  </si>
  <si>
    <t>M</t>
  </si>
  <si>
    <t>σ</t>
  </si>
  <si>
    <t>σM</t>
  </si>
  <si>
    <t xml:space="preserve">Distanza [m]</t>
  </si>
  <si>
    <t xml:space="preserve">Tempi [s]</t>
  </si>
  <si>
    <t xml:space="preserve">σm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</si>
</sst>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"/>
  </numFmts>
  <fonts count="1">
    <font>
      <sz val="11.00000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C000"/>
        <bgColor rgb="FFFFC000"/>
      </patternFill>
    </fill>
  </fills>
  <borders count="39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none"/>
      <top style="medium">
        <color theme="1"/>
      </top>
      <bottom style="none"/>
      <diagonal style="none"/>
    </border>
    <border>
      <left style="none"/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none"/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6">
    <xf fontId="0" fillId="0" borderId="0" numFmtId="0" xfId="0"/>
    <xf fontId="0" fillId="2" borderId="1" numFmtId="0" xfId="0" applyFill="1" applyBorder="1"/>
    <xf fontId="0" fillId="2" borderId="2" numFmtId="0" xfId="0" applyFill="1" applyBorder="1"/>
    <xf fontId="0" fillId="2" borderId="3" numFmtId="0" xfId="0" applyFill="1" applyBorder="1"/>
    <xf fontId="0" fillId="0" borderId="2" numFmtId="0" xfId="0" applyBorder="1"/>
    <xf fontId="0" fillId="0" borderId="4" numFmtId="164" xfId="0" applyNumberFormat="1" applyBorder="1"/>
    <xf fontId="0" fillId="0" borderId="0" numFmtId="165" xfId="0" applyNumberFormat="1"/>
    <xf fontId="0" fillId="0" borderId="4" numFmtId="165" xfId="0" applyNumberFormat="1" applyBorder="1"/>
    <xf fontId="0" fillId="0" borderId="4" numFmtId="0" xfId="0" applyBorder="1"/>
    <xf fontId="0" fillId="0" borderId="5" numFmtId="164" xfId="0" applyNumberFormat="1" applyBorder="1"/>
    <xf fontId="0" fillId="0" borderId="6" numFmtId="165" xfId="0" applyNumberFormat="1" applyBorder="1"/>
    <xf fontId="0" fillId="0" borderId="5" numFmtId="165" xfId="0" applyNumberFormat="1" applyBorder="1"/>
    <xf fontId="0" fillId="3" borderId="1" numFmtId="0" xfId="0" applyFill="1" applyBorder="1" applyAlignment="1">
      <alignment horizontal="center"/>
    </xf>
    <xf fontId="0" fillId="3" borderId="7" numFmtId="0" xfId="0" applyFill="1" applyBorder="1" applyAlignment="1">
      <alignment horizontal="center"/>
    </xf>
    <xf fontId="0" fillId="3" borderId="8" numFmtId="165" xfId="0" applyNumberFormat="1" applyFill="1" applyBorder="1" applyAlignment="1">
      <alignment horizontal="center"/>
    </xf>
    <xf fontId="0" fillId="3" borderId="0" numFmtId="165" xfId="0" applyNumberFormat="1" applyFill="1" applyAlignment="1">
      <alignment horizontal="center"/>
    </xf>
    <xf fontId="0" fillId="2" borderId="9" numFmtId="0" xfId="0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0" fillId="2" borderId="11" numFmtId="0" xfId="0" applyFill="1" applyBorder="1" applyAlignment="1">
      <alignment horizontal="center"/>
    </xf>
    <xf fontId="0" fillId="0" borderId="9" numFmtId="165" xfId="0" applyNumberFormat="1" applyBorder="1"/>
    <xf fontId="0" fillId="0" borderId="12" numFmtId="165" xfId="0" applyNumberFormat="1" applyBorder="1"/>
    <xf fontId="0" fillId="0" borderId="13" numFmtId="165" xfId="0" applyNumberFormat="1" applyBorder="1"/>
    <xf fontId="0" fillId="0" borderId="14" numFmtId="0" xfId="0" applyBorder="1"/>
    <xf fontId="0" fillId="2" borderId="9" numFmtId="0" xfId="0" applyFill="1" applyBorder="1"/>
    <xf fontId="0" fillId="3" borderId="9" numFmtId="165" xfId="0" applyNumberFormat="1" applyFill="1" applyBorder="1"/>
    <xf fontId="0" fillId="3" borderId="15" numFmtId="165" xfId="0" applyNumberFormat="1" applyFill="1" applyBorder="1"/>
    <xf fontId="0" fillId="2" borderId="9" numFmtId="165" xfId="0" applyNumberFormat="1" applyFill="1" applyBorder="1"/>
    <xf fontId="0" fillId="3" borderId="12" numFmtId="165" xfId="0" applyNumberFormat="1" applyFill="1" applyBorder="1"/>
    <xf fontId="0" fillId="2" borderId="4" numFmtId="0" xfId="0" applyFill="1" applyBorder="1"/>
    <xf fontId="0" fillId="3" borderId="4" numFmtId="165" xfId="0" applyNumberFormat="1" applyFill="1" applyBorder="1"/>
    <xf fontId="0" fillId="3" borderId="0" numFmtId="165" xfId="0" applyNumberFormat="1" applyFill="1"/>
    <xf fontId="0" fillId="2" borderId="4" numFmtId="165" xfId="0" applyNumberFormat="1" applyFill="1" applyBorder="1"/>
    <xf fontId="0" fillId="3" borderId="13" numFmtId="165" xfId="0" applyNumberFormat="1" applyFill="1" applyBorder="1"/>
    <xf fontId="0" fillId="2" borderId="5" numFmtId="0" xfId="0" applyFill="1" applyBorder="1"/>
    <xf fontId="0" fillId="3" borderId="5" numFmtId="165" xfId="0" applyNumberFormat="1" applyFill="1" applyBorder="1"/>
    <xf fontId="0" fillId="3" borderId="16" numFmtId="165" xfId="0" applyNumberFormat="1" applyFill="1" applyBorder="1"/>
    <xf fontId="0" fillId="2" borderId="5" numFmtId="165" xfId="0" applyNumberFormat="1" applyFill="1" applyBorder="1"/>
    <xf fontId="0" fillId="3" borderId="17" numFmtId="165" xfId="0" applyNumberFormat="1" applyFill="1" applyBorder="1"/>
    <xf fontId="0" fillId="2" borderId="18" numFmtId="0" xfId="0" applyFill="1" applyBorder="1" applyAlignment="1">
      <alignment horizontal="center"/>
    </xf>
    <xf fontId="0" fillId="2" borderId="19" numFmtId="0" xfId="0" applyFill="1" applyBorder="1" applyAlignment="1">
      <alignment horizontal="center"/>
    </xf>
    <xf fontId="0" fillId="2" borderId="20" numFmtId="0" xfId="0" applyFill="1" applyBorder="1" applyAlignment="1">
      <alignment horizontal="center"/>
    </xf>
    <xf fontId="0" fillId="0" borderId="21" numFmtId="0" xfId="0" applyBorder="1"/>
    <xf fontId="0" fillId="0" borderId="22" numFmtId="2" xfId="0" applyNumberFormat="1" applyBorder="1"/>
    <xf fontId="0" fillId="0" borderId="23" numFmtId="0" xfId="0" applyBorder="1"/>
    <xf fontId="0" fillId="0" borderId="23" numFmtId="2" xfId="0" applyNumberFormat="1" applyBorder="1"/>
    <xf fontId="0" fillId="0" borderId="24" numFmtId="2" xfId="0" applyNumberFormat="1" applyBorder="1"/>
    <xf fontId="0" fillId="2" borderId="25" numFmtId="0" xfId="0" applyFill="1" applyBorder="1" applyAlignment="1">
      <alignment horizontal="center"/>
    </xf>
    <xf fontId="0" fillId="2" borderId="26" numFmtId="0" xfId="0" applyFill="1" applyBorder="1" applyAlignment="1">
      <alignment horizontal="center"/>
    </xf>
    <xf fontId="0" fillId="2" borderId="27" numFmtId="0" xfId="0" applyFill="1" applyBorder="1" applyAlignment="1">
      <alignment horizontal="center"/>
    </xf>
    <xf fontId="0" fillId="0" borderId="28" numFmtId="166" xfId="0" applyNumberFormat="1" applyBorder="1"/>
    <xf fontId="0" fillId="0" borderId="11" numFmtId="166" xfId="0" applyNumberFormat="1" applyBorder="1"/>
    <xf fontId="0" fillId="0" borderId="29" numFmtId="166" xfId="0" applyNumberFormat="1" applyBorder="1"/>
    <xf fontId="0" fillId="0" borderId="30" numFmtId="166" xfId="0" applyNumberFormat="1" applyBorder="1"/>
    <xf fontId="0" fillId="0" borderId="4" numFmtId="166" xfId="0" applyNumberFormat="1" applyBorder="1"/>
    <xf fontId="0" fillId="0" borderId="10" numFmtId="166" xfId="0" applyNumberFormat="1" applyBorder="1"/>
    <xf fontId="0" fillId="0" borderId="31" numFmtId="166" xfId="0" applyNumberFormat="1" applyBorder="1"/>
    <xf fontId="0" fillId="0" borderId="32" numFmtId="166" xfId="0" applyNumberFormat="1" applyBorder="1"/>
    <xf fontId="0" fillId="0" borderId="5" numFmtId="166" xfId="0" applyNumberFormat="1" applyBorder="1"/>
    <xf fontId="0" fillId="3" borderId="33" numFmtId="166" xfId="0" applyNumberFormat="1" applyFill="1" applyBorder="1"/>
    <xf fontId="0" fillId="3" borderId="34" numFmtId="166" xfId="0" applyNumberFormat="1" applyFill="1" applyBorder="1"/>
    <xf fontId="0" fillId="3" borderId="35" numFmtId="166" xfId="0" applyNumberFormat="1" applyFill="1" applyBorder="1"/>
    <xf fontId="0" fillId="3" borderId="4" numFmtId="166" xfId="0" applyNumberFormat="1" applyFill="1" applyBorder="1"/>
    <xf fontId="0" fillId="3" borderId="36" numFmtId="166" xfId="0" applyNumberFormat="1" applyFill="1" applyBorder="1"/>
    <xf fontId="0" fillId="3" borderId="37" numFmtId="166" xfId="0" applyNumberFormat="1" applyFill="1" applyBorder="1"/>
    <xf fontId="0" fillId="3" borderId="38" numFmtId="166" xfId="0" applyNumberFormat="1" applyFill="1" applyBorder="1"/>
    <xf fontId="0" fillId="3" borderId="5" numFmtId="166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7" activeCellId="0" sqref="E7"/>
    </sheetView>
  </sheetViews>
  <sheetFormatPr defaultRowHeight="14.25"/>
  <cols>
    <col customWidth="1" min="1" max="1" width="9.75390625"/>
    <col customWidth="1" min="2" max="2" width="10.25390625"/>
    <col bestFit="1" customWidth="1" min="3" max="3" width="13.796875"/>
    <col customWidth="1" min="4" max="4" width="13.125"/>
    <col customWidth="1" min="6" max="6" width="9.06640625"/>
    <col bestFit="1" customWidth="1" min="7" max="7" width="22.1328125"/>
    <col bestFit="1" customWidth="1" min="8" max="8" width="13.796875"/>
    <col bestFit="1" customWidth="1" min="9" max="9" width="18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>
        <v>0.12</v>
      </c>
      <c r="B2" s="5">
        <v>8.0000000000000002e-002</v>
      </c>
      <c r="C2" s="6">
        <v>1.9995000000000001</v>
      </c>
      <c r="D2" s="7">
        <v>1.9543999999999999</v>
      </c>
    </row>
    <row r="3">
      <c r="B3" s="5">
        <v>0.10000000000000001</v>
      </c>
      <c r="C3" s="6">
        <v>1.9843</v>
      </c>
      <c r="D3" s="7">
        <v>1.9044000000000001</v>
      </c>
    </row>
    <row r="4">
      <c r="B4" s="5">
        <v>0.13</v>
      </c>
      <c r="C4" s="6">
        <v>1.9690000000000001</v>
      </c>
      <c r="D4" s="7">
        <v>1.8761000000000001</v>
      </c>
    </row>
    <row r="5">
      <c r="B5" s="5">
        <v>0.16300000000000001</v>
      </c>
      <c r="C5" s="6">
        <v>1.9643999999999999</v>
      </c>
      <c r="D5" s="7">
        <v>1.8714</v>
      </c>
    </row>
    <row r="6">
      <c r="B6" s="5">
        <v>0.19</v>
      </c>
      <c r="C6" s="6">
        <v>1.9528000000000001</v>
      </c>
      <c r="D6" s="7">
        <v>1.8234999999999999</v>
      </c>
    </row>
    <row r="7">
      <c r="B7" s="5">
        <v>0.22</v>
      </c>
      <c r="C7" s="6">
        <v>1.9461999999999999</v>
      </c>
      <c r="D7" s="7">
        <v>1.8037000000000001</v>
      </c>
    </row>
    <row r="8">
      <c r="B8" s="5">
        <v>0.245</v>
      </c>
      <c r="C8" s="6">
        <v>1.9360999999999999</v>
      </c>
      <c r="D8" s="7">
        <v>1.76</v>
      </c>
    </row>
    <row r="9">
      <c r="B9" s="5">
        <v>0.27000000000000002</v>
      </c>
      <c r="C9" s="6">
        <v>1.9354</v>
      </c>
      <c r="D9" s="7">
        <v>1.7618</v>
      </c>
    </row>
    <row r="10">
      <c r="B10" s="5">
        <v>0.30499999999999999</v>
      </c>
      <c r="C10" s="6">
        <v>1.921</v>
      </c>
      <c r="D10" s="7">
        <v>1.7654000000000001</v>
      </c>
    </row>
    <row r="11">
      <c r="B11" s="5">
        <v>0.33700000000000002</v>
      </c>
      <c r="C11" s="6">
        <v>1.9114</v>
      </c>
      <c r="D11" s="7">
        <v>1.7536</v>
      </c>
    </row>
    <row r="12">
      <c r="B12" s="5">
        <v>0.379</v>
      </c>
      <c r="C12" s="6">
        <v>1.903</v>
      </c>
      <c r="D12" s="7">
        <v>1.7468999999999999</v>
      </c>
    </row>
    <row r="13">
      <c r="B13" s="5">
        <v>0.41999999999999998</v>
      </c>
      <c r="C13" s="6">
        <v>1.9016</v>
      </c>
      <c r="D13" s="7">
        <v>1.7565999999999999</v>
      </c>
    </row>
    <row r="14">
      <c r="B14" s="5">
        <v>0.46500000000000002</v>
      </c>
      <c r="C14" s="6">
        <v>1.8985000000000001</v>
      </c>
      <c r="D14" s="7">
        <v>1.7608999999999999</v>
      </c>
    </row>
    <row r="15">
      <c r="B15" s="5">
        <v>0.51000000000000001</v>
      </c>
      <c r="C15" s="6">
        <v>1.8929</v>
      </c>
      <c r="D15" s="7">
        <v>1.7766</v>
      </c>
    </row>
    <row r="16">
      <c r="B16" s="5">
        <v>0.55500000000000005</v>
      </c>
      <c r="C16" s="6">
        <v>1.8799999999999999</v>
      </c>
      <c r="D16" s="7">
        <v>1.7897000000000001</v>
      </c>
    </row>
    <row r="17">
      <c r="B17" s="5">
        <v>0.58999999999999997</v>
      </c>
      <c r="C17" s="6">
        <v>1.8823000000000001</v>
      </c>
      <c r="D17" s="7">
        <v>1.8021</v>
      </c>
    </row>
    <row r="18">
      <c r="B18" s="5">
        <v>0.622</v>
      </c>
      <c r="C18" s="6">
        <v>1.8936999999999999</v>
      </c>
      <c r="D18" s="7">
        <v>1.8011999999999999</v>
      </c>
    </row>
    <row r="19">
      <c r="B19" s="5">
        <v>0.66300000000000003</v>
      </c>
      <c r="C19" s="6">
        <v>1.8996</v>
      </c>
      <c r="D19" s="7">
        <v>1.8382000000000001</v>
      </c>
    </row>
    <row r="20">
      <c r="B20" s="5">
        <v>0.70499999999999996</v>
      </c>
      <c r="C20" s="6">
        <v>1.8989</v>
      </c>
      <c r="D20" s="7">
        <v>1.8492999999999999</v>
      </c>
    </row>
    <row r="21">
      <c r="B21" s="5">
        <v>0.73999999999999999</v>
      </c>
      <c r="C21" s="6">
        <v>1.9069</v>
      </c>
      <c r="D21" s="7">
        <v>1.8694</v>
      </c>
    </row>
    <row r="22">
      <c r="B22" s="5">
        <v>0.77500000000000002</v>
      </c>
      <c r="C22" s="6">
        <v>1.9159999999999999</v>
      </c>
      <c r="D22" s="7">
        <v>1.8993</v>
      </c>
    </row>
    <row r="23">
      <c r="B23" s="5">
        <v>0.81000000000000005</v>
      </c>
      <c r="C23" s="6">
        <v>1.9296</v>
      </c>
      <c r="D23" s="7">
        <v>1.9175</v>
      </c>
    </row>
    <row r="24">
      <c r="B24" s="5">
        <v>0.83799999999999997</v>
      </c>
      <c r="C24" s="6">
        <v>1.9403999999999999</v>
      </c>
      <c r="D24" s="7">
        <v>1.9319</v>
      </c>
    </row>
    <row r="25">
      <c r="B25" s="5">
        <v>0.88200000000000001</v>
      </c>
      <c r="C25" s="6">
        <v>1.9753000000000001</v>
      </c>
      <c r="D25" s="7">
        <v>1.9626999999999999</v>
      </c>
    </row>
    <row r="26">
      <c r="B26" s="5">
        <v>0.91500000000000004</v>
      </c>
      <c r="C26">
        <v>1.9802999999999999</v>
      </c>
      <c r="D26" s="8">
        <v>1.9879</v>
      </c>
    </row>
    <row r="27">
      <c r="B27" s="9">
        <v>0.92000000000000004</v>
      </c>
      <c r="C27" s="10">
        <v>1.9931000000000001</v>
      </c>
      <c r="D27" s="11">
        <v>1.9933000000000001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2" activeCellId="0" sqref="E22"/>
    </sheetView>
  </sheetViews>
  <sheetFormatPr defaultRowHeight="14.25"/>
  <cols>
    <col bestFit="1" customWidth="1" min="1" max="1" width="16.203125"/>
    <col customWidth="1" min="2" max="2" width="18.00390625"/>
    <col bestFit="1" customWidth="1" min="3" max="3" width="18.796875"/>
    <col customWidth="1" min="4" max="4" width="16.375"/>
    <col customWidth="1" min="5" max="5" width="17.625"/>
    <col bestFit="1" customWidth="1" min="6" max="6" width="18.796875"/>
    <col bestFit="1" min="7" max="7" width="22.86328125"/>
    <col bestFit="1" min="8" max="8" width="14.1328125"/>
    <col bestFit="1" min="9" max="9" width="18.796875"/>
    <col bestFit="1" min="10" max="10" width="10.86328125"/>
  </cols>
  <sheetData>
    <row r="1">
      <c r="A1" s="2" t="s">
        <v>4</v>
      </c>
      <c r="B1" s="12" t="s">
        <v>5</v>
      </c>
      <c r="C1" s="13"/>
      <c r="E1" s="14" t="s">
        <v>6</v>
      </c>
      <c r="F1" s="15"/>
    </row>
    <row r="2">
      <c r="B2" s="16" t="s">
        <v>2</v>
      </c>
      <c r="C2" s="17" t="s">
        <v>3</v>
      </c>
      <c r="E2" s="16" t="s">
        <v>2</v>
      </c>
      <c r="F2" s="18" t="s">
        <v>3</v>
      </c>
    </row>
    <row r="3">
      <c r="B3" s="19">
        <v>1.9906999999999999</v>
      </c>
      <c r="C3" s="19">
        <v>1.9875</v>
      </c>
      <c r="E3" s="19">
        <v>1.9911000000000001</v>
      </c>
      <c r="F3" s="20">
        <v>1.9866999999999999</v>
      </c>
    </row>
    <row r="4">
      <c r="B4" s="8">
        <v>1.9911000000000001</v>
      </c>
      <c r="C4" s="7">
        <v>1.9873000000000001</v>
      </c>
      <c r="D4" s="6"/>
      <c r="E4" s="7">
        <v>1.9863</v>
      </c>
      <c r="F4" s="21">
        <v>1.9923999999999999</v>
      </c>
    </row>
    <row r="5">
      <c r="A5" s="22"/>
      <c r="B5" s="8">
        <v>1.9908999999999999</v>
      </c>
      <c r="C5" s="7">
        <v>1.9894000000000001</v>
      </c>
      <c r="D5" s="6"/>
      <c r="E5" s="7">
        <v>1.9910000000000001</v>
      </c>
      <c r="F5" s="21">
        <v>1.9919</v>
      </c>
    </row>
    <row r="6">
      <c r="A6" s="22"/>
      <c r="B6" s="8">
        <v>1.9919</v>
      </c>
      <c r="C6" s="7">
        <v>1.9890000000000001</v>
      </c>
      <c r="D6" s="6"/>
      <c r="E6" s="7">
        <v>1.9857</v>
      </c>
      <c r="F6" s="21">
        <v>1.9925999999999999</v>
      </c>
    </row>
    <row r="7">
      <c r="A7" s="22"/>
      <c r="B7" s="8">
        <v>1.9908999999999999</v>
      </c>
      <c r="C7" s="7">
        <v>1.9882</v>
      </c>
      <c r="D7" s="6"/>
      <c r="E7" s="7">
        <v>1.9905999999999999</v>
      </c>
      <c r="F7" s="21">
        <v>1.9903999999999999</v>
      </c>
    </row>
    <row r="8">
      <c r="A8" s="22"/>
      <c r="B8" s="8">
        <v>1.9906999999999999</v>
      </c>
      <c r="C8" s="7">
        <v>1.9882</v>
      </c>
      <c r="D8" s="6"/>
      <c r="E8" s="7">
        <v>1.9925999999999999</v>
      </c>
      <c r="F8" s="21">
        <v>1.9904999999999999</v>
      </c>
    </row>
    <row r="9">
      <c r="A9" s="22"/>
      <c r="B9" s="8">
        <v>1.9913000000000001</v>
      </c>
      <c r="C9" s="7">
        <v>1.988</v>
      </c>
      <c r="D9" s="6"/>
      <c r="E9" s="7">
        <v>1.9928999999999999</v>
      </c>
      <c r="F9" s="21">
        <v>1.9907999999999999</v>
      </c>
    </row>
    <row r="10">
      <c r="A10" s="22"/>
      <c r="B10" s="8">
        <v>1.9904999999999999</v>
      </c>
      <c r="C10" s="7">
        <v>1.9886999999999999</v>
      </c>
      <c r="D10" s="6"/>
      <c r="E10" s="7">
        <v>1.9905999999999999</v>
      </c>
      <c r="F10" s="21">
        <v>1.9937</v>
      </c>
    </row>
    <row r="11">
      <c r="A11" s="22"/>
      <c r="B11" s="8">
        <v>1.9905999999999999</v>
      </c>
      <c r="C11" s="7">
        <v>1.9879</v>
      </c>
      <c r="D11" s="6"/>
      <c r="E11" s="7">
        <v>1.982</v>
      </c>
      <c r="F11" s="21">
        <v>1.99</v>
      </c>
    </row>
    <row r="12">
      <c r="A12" s="22"/>
      <c r="B12" s="8">
        <v>1.9923</v>
      </c>
      <c r="C12" s="11">
        <v>1.9870000000000001</v>
      </c>
      <c r="E12" s="7">
        <v>1.9910000000000001</v>
      </c>
      <c r="F12" s="21">
        <v>1.9839</v>
      </c>
    </row>
    <row r="13">
      <c r="A13" s="23" t="s">
        <v>7</v>
      </c>
      <c r="B13" s="24">
        <f>AVERAGE(B3:B12)</f>
        <v>1.9910900000000002</v>
      </c>
      <c r="C13" s="25">
        <f>AVERAGE(C3:C12)</f>
        <v>1.9881199999999999</v>
      </c>
      <c r="D13" s="26" t="s">
        <v>7</v>
      </c>
      <c r="E13" s="24">
        <f>AVERAGE(E3:E12)</f>
        <v>1.9893800000000001</v>
      </c>
      <c r="F13" s="27">
        <f>AVERAGE(F3:F12)</f>
        <v>1.9902899999999994</v>
      </c>
    </row>
    <row r="14">
      <c r="A14" s="28" t="s">
        <v>8</v>
      </c>
      <c r="B14" s="29">
        <f>_xlfn.STDEV.S(B3:B12)</f>
        <v>5.8963265400306707e-004</v>
      </c>
      <c r="C14" s="30">
        <f>_xlfn.STDEV.S(C3:C12)</f>
        <v>7.554248252914698e-004</v>
      </c>
      <c r="D14" s="31" t="s">
        <v>8</v>
      </c>
      <c r="E14" s="29">
        <f>_xlfn.STDEV.S(E3:E12)</f>
        <v>3.5187750393819938e-003</v>
      </c>
      <c r="F14" s="32">
        <f>_xlfn.STDEV.S(F3:F12)</f>
        <v>2.9463536787018665e-003</v>
      </c>
    </row>
    <row r="15" ht="14.25">
      <c r="A15" s="33" t="s">
        <v>9</v>
      </c>
      <c r="B15" s="34">
        <f>B14/SQRT(10)</f>
        <v>1.8645821694596905e-004</v>
      </c>
      <c r="C15" s="35">
        <f>C14/SQRT(10)</f>
        <v>2.3888630489558158e-004</v>
      </c>
      <c r="D15" s="36" t="s">
        <v>9</v>
      </c>
      <c r="E15" s="34">
        <f>E14/SQRT(10)</f>
        <v>1.1127343698195788e-003</v>
      </c>
      <c r="F15" s="37">
        <f>F14/SQRT(10)</f>
        <v>9.3171884171138343e-004</v>
      </c>
    </row>
  </sheetData>
  <mergeCells count="2">
    <mergeCell ref="B1:C1"/>
    <mergeCell ref="E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3" activeCellId="0" sqref="G23"/>
    </sheetView>
  </sheetViews>
  <sheetFormatPr defaultRowHeight="14.25"/>
  <cols>
    <col bestFit="1" customWidth="1" min="1" max="1" width="15.3984375"/>
    <col bestFit="1" customWidth="1" min="2" max="2" width="14.33203125"/>
    <col bestFit="1" customWidth="1" min="3" max="8" width="11.265625"/>
    <col bestFit="1" customWidth="1" min="9" max="9" width="10.59765625"/>
    <col bestFit="1" customWidth="1" min="10" max="10" width="11.73046875"/>
    <col bestFit="1" customWidth="1" min="11" max="11" width="10.59765625"/>
    <col bestFit="1" customWidth="1" min="12" max="12" width="7.9296875"/>
  </cols>
  <sheetData>
    <row r="1">
      <c r="A1"/>
      <c r="B1" s="38" t="s">
        <v>10</v>
      </c>
      <c r="C1" s="39"/>
      <c r="D1" s="39"/>
      <c r="E1" s="39"/>
      <c r="F1" s="39"/>
      <c r="G1" s="39"/>
      <c r="H1" s="40"/>
    </row>
    <row r="2">
      <c r="A2"/>
      <c r="B2" s="41">
        <v>0.14999999999999999</v>
      </c>
      <c r="C2" s="42">
        <v>0.20000000000000001</v>
      </c>
      <c r="D2" s="43">
        <v>0.25</v>
      </c>
      <c r="E2" s="44">
        <v>0.29999999999999999</v>
      </c>
      <c r="F2" s="43">
        <v>0.34999999999999998</v>
      </c>
      <c r="G2" s="45">
        <v>0.40000000000000002</v>
      </c>
      <c r="H2" s="41">
        <v>0.45000000000000001</v>
      </c>
    </row>
    <row r="3">
      <c r="A3"/>
      <c r="B3" s="46" t="s">
        <v>11</v>
      </c>
      <c r="C3" s="47"/>
      <c r="D3" s="47"/>
      <c r="E3" s="47"/>
      <c r="F3" s="47"/>
      <c r="G3" s="47"/>
      <c r="H3" s="48"/>
    </row>
    <row r="4">
      <c r="A4"/>
      <c r="B4" s="49">
        <v>0.14330000000000001</v>
      </c>
      <c r="C4" s="50">
        <v>0.16980000000000001</v>
      </c>
      <c r="D4" s="51">
        <v>0.19339999999999999</v>
      </c>
      <c r="E4" s="51">
        <v>0.21460000000000001</v>
      </c>
      <c r="F4" s="51">
        <v>0.23419999999999999</v>
      </c>
      <c r="G4" s="52">
        <v>0.25280000000000002</v>
      </c>
      <c r="H4" s="49">
        <v>0.27129999999999999</v>
      </c>
    </row>
    <row r="5">
      <c r="A5"/>
      <c r="B5" s="53">
        <v>0.1434</v>
      </c>
      <c r="C5" s="54">
        <v>0.1716</v>
      </c>
      <c r="D5" s="55">
        <v>0.19320000000000001</v>
      </c>
      <c r="E5" s="55">
        <v>0.215</v>
      </c>
      <c r="F5" s="55">
        <v>0.2344</v>
      </c>
      <c r="G5" s="56">
        <v>0.253</v>
      </c>
      <c r="H5" s="53">
        <v>0.27189999999999998</v>
      </c>
    </row>
    <row r="6">
      <c r="A6"/>
      <c r="B6" s="53">
        <v>0.14330000000000001</v>
      </c>
      <c r="C6" s="54">
        <v>0.17100000000000001</v>
      </c>
      <c r="D6" s="55">
        <v>0.1933</v>
      </c>
      <c r="E6" s="55">
        <v>0.21490000000000001</v>
      </c>
      <c r="F6" s="55">
        <v>0.23430000000000001</v>
      </c>
      <c r="G6" s="56">
        <v>0.25369999999999998</v>
      </c>
      <c r="H6" s="53">
        <v>0.27210000000000001</v>
      </c>
    </row>
    <row r="7">
      <c r="A7"/>
      <c r="B7" s="53">
        <v>0.1431</v>
      </c>
      <c r="C7" s="54">
        <v>0.17030000000000001</v>
      </c>
      <c r="D7" s="55">
        <v>0.1933</v>
      </c>
      <c r="E7" s="55">
        <v>0.21479999999999999</v>
      </c>
      <c r="F7" s="55">
        <v>0.23419999999999999</v>
      </c>
      <c r="G7" s="56">
        <v>0.25319999999999998</v>
      </c>
      <c r="H7" s="53">
        <v>0.27079999999999999</v>
      </c>
    </row>
    <row r="8">
      <c r="A8"/>
      <c r="B8" s="53">
        <v>0.14319999999999999</v>
      </c>
      <c r="C8" s="54">
        <v>0.1706</v>
      </c>
      <c r="D8" s="55">
        <v>0.1933</v>
      </c>
      <c r="E8" s="55">
        <v>0.2152</v>
      </c>
      <c r="F8" s="55">
        <v>0.2344</v>
      </c>
      <c r="G8" s="56">
        <v>0.25359999999999999</v>
      </c>
      <c r="H8" s="53">
        <v>0.27179999999999999</v>
      </c>
    </row>
    <row r="9">
      <c r="A9"/>
      <c r="B9" s="53">
        <v>0.14330000000000001</v>
      </c>
      <c r="C9" s="54">
        <v>0.1711</v>
      </c>
      <c r="D9" s="55">
        <v>0.19359999999999999</v>
      </c>
      <c r="E9" s="55">
        <v>0.2147</v>
      </c>
      <c r="F9" s="55">
        <v>0.23449999999999999</v>
      </c>
      <c r="G9" s="56">
        <v>0.253</v>
      </c>
      <c r="H9" s="53">
        <v>0.26860000000000001</v>
      </c>
    </row>
    <row r="10">
      <c r="A10"/>
      <c r="B10" s="57">
        <v>0.1431</v>
      </c>
      <c r="C10" s="54">
        <v>0.17000000000000001</v>
      </c>
      <c r="D10" s="55">
        <v>0.19359999999999999</v>
      </c>
      <c r="E10" s="55">
        <v>0.21479999999999999</v>
      </c>
      <c r="F10" s="55">
        <v>0.23430000000000001</v>
      </c>
      <c r="G10" s="56">
        <v>0.25340000000000001</v>
      </c>
      <c r="H10" s="57">
        <v>0.26829999999999998</v>
      </c>
    </row>
    <row r="11">
      <c r="A11" s="23" t="s">
        <v>7</v>
      </c>
      <c r="B11" s="58">
        <f t="shared" ref="B11:H11" si="0">AVERAGE(B4:B10)</f>
        <v>0.14324285714285714</v>
      </c>
      <c r="C11" s="59">
        <f t="shared" si="0"/>
        <v>0.17062857142857141</v>
      </c>
      <c r="D11" s="59">
        <f t="shared" si="0"/>
        <v>0.19338571428571427</v>
      </c>
      <c r="E11" s="59">
        <f t="shared" si="0"/>
        <v>0.21485714285714286</v>
      </c>
      <c r="F11" s="59">
        <f t="shared" si="0"/>
        <v>0.23432857142857141</v>
      </c>
      <c r="G11" s="60">
        <f t="shared" si="0"/>
        <v>0.25324285714285721</v>
      </c>
      <c r="H11" s="61">
        <f t="shared" si="0"/>
        <v>0.27068571428571425</v>
      </c>
    </row>
    <row r="12">
      <c r="A12" s="33" t="s">
        <v>12</v>
      </c>
      <c r="B12" s="62">
        <f t="shared" ref="B12:H12" si="1">_xlfn.STDEV.S(B4:B10)/SQRT(7)</f>
        <v>4.2857142857143202e-005</v>
      </c>
      <c r="C12" s="63">
        <f t="shared" si="1"/>
        <v>2.4369603013188476e-004</v>
      </c>
      <c r="D12" s="63">
        <f t="shared" si="1"/>
        <v>5.9476171413316292e-005</v>
      </c>
      <c r="E12" s="63">
        <f t="shared" si="1"/>
        <v>7.514158970504462e-005</v>
      </c>
      <c r="F12" s="63">
        <f t="shared" si="1"/>
        <v>4.2056004125370102e-005</v>
      </c>
      <c r="G12" s="64">
        <f t="shared" si="1"/>
        <v>1.2697420596164739e-004</v>
      </c>
      <c r="H12" s="65">
        <f t="shared" si="1"/>
        <v>6.0056662586997192e-004</v>
      </c>
    </row>
  </sheetData>
  <mergeCells count="2">
    <mergeCell ref="B1:H1"/>
    <mergeCell ref="B3:H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revision>3</cp:revision>
  <dcterms:created xsi:type="dcterms:W3CDTF">2026-05-12T08:51:21Z</dcterms:created>
  <dcterms:modified xsi:type="dcterms:W3CDTF">2026-05-30T16:45:08Z</dcterms:modified>
</cp:coreProperties>
</file>