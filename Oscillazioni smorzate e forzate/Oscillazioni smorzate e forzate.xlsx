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morzate forzate (4mm)" sheetId="1" state="visible" r:id="rId4"/>
    <sheet name="Smorzate forzate (5mm)" sheetId="2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<sst xmlns="http://schemas.openxmlformats.org/spreadsheetml/2006/main" count="25" uniqueCount="25">
  <si>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>γ</t>
  </si>
  <si>
    <t>sγ</t>
  </si>
  <si>
    <t>ω</t>
  </si>
  <si>
    <t>sω</t>
  </si>
  <si>
    <t xml:space="preserve">ω0 [rad/s]</t>
  </si>
  <si>
    <t xml:space="preserve">(ω0)/2 [rad/s]</t>
  </si>
  <si>
    <t xml:space="preserve">2(ω0) [rad/s]</t>
  </si>
  <si>
    <t>γ_best</t>
  </si>
  <si>
    <r>
      <rPr>
        <sz val="10"/>
        <rFont val="Arial"/>
        <scheme val="minor"/>
      </rPr>
      <t>σ</t>
    </r>
    <r>
      <rPr>
        <vertAlign val="subscript"/>
        <sz val="10"/>
        <rFont val="Arial"/>
        <scheme val="minor"/>
      </rPr>
      <t>x_best</t>
    </r>
  </si>
  <si>
    <t>ω_best</t>
  </si>
  <si>
    <t>γ_medio</t>
  </si>
  <si>
    <t>Err.Media</t>
  </si>
  <si>
    <t>ω_medio</t>
  </si>
  <si>
    <t xml:space="preserve">Tensione [V]</t>
  </si>
  <si>
    <t xml:space="preserve">ω interp. [rad/s] </t>
  </si>
  <si>
    <t xml:space="preserve">sω [rad/s]</t>
  </si>
  <si>
    <t xml:space="preserve">T [s]</t>
  </si>
  <si>
    <t xml:space="preserve">T_f [s]</t>
  </si>
  <si>
    <t xml:space="preserve">T_f medio [s]</t>
  </si>
  <si>
    <t xml:space="preserve">ω_f [rad/s]</t>
  </si>
  <si>
    <t>A</t>
  </si>
  <si>
    <t>σA</t>
  </si>
  <si>
    <t xml:space="preserve">Valore sul picco di risonanza</t>
  </si>
  <si>
    <t xml:space="preserve">ω interp. [rad/s]</t>
  </si>
  <si>
    <t xml:space="preserve">ω-f [rad/s]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</si>
</sst>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2">
    <font>
      <sz val="10.000000"/>
      <name val="Arial"/>
      <scheme val="minor"/>
    </font>
    <font>
      <u/>
      <sz val="10.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"/>
        <bgColor theme="4" tint="0"/>
      </patternFill>
    </fill>
    <fill>
      <patternFill patternType="solid">
        <fgColor rgb="FF4285F4"/>
        <bgColor rgb="FF4285F4"/>
      </patternFill>
    </fill>
    <fill>
      <patternFill patternType="solid">
        <fgColor theme="4"/>
      </patternFill>
    </fill>
    <fill>
      <patternFill patternType="solid">
        <fgColor rgb="FFFFC000"/>
      </patternFill>
    </fill>
    <fill>
      <patternFill patternType="solid">
        <fgColor theme="6" tint="0"/>
        <bgColor theme="6" tint="0"/>
      </patternFill>
    </fill>
  </fills>
  <borders count="60">
    <border>
      <left style="none"/>
      <right style="none"/>
      <top style="none"/>
      <bottom style="none"/>
      <diagonal style="none"/>
    </border>
    <border>
      <left style="medium">
        <color theme="1"/>
      </left>
      <right style="none"/>
      <top style="medium">
        <color theme="1"/>
      </top>
      <bottom style="medium">
        <color auto="1"/>
      </bottom>
      <diagonal style="none"/>
    </border>
    <border>
      <left style="none"/>
      <right style="none"/>
      <top style="medium">
        <color theme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theme="1"/>
      </top>
      <bottom style="medium">
        <color auto="1"/>
      </bottom>
      <diagonal style="none"/>
    </border>
    <border>
      <left style="none"/>
      <right style="medium">
        <color theme="1"/>
      </right>
      <top style="medium">
        <color theme="1"/>
      </top>
      <bottom style="medium">
        <color auto="1"/>
      </bottom>
      <diagonal style="none"/>
    </border>
    <border>
      <left style="medium">
        <color theme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theme="1"/>
      </right>
      <top style="medium">
        <color auto="1"/>
      </top>
      <bottom style="medium">
        <color auto="1"/>
      </bottom>
      <diagonal style="none"/>
    </border>
    <border>
      <left style="medium">
        <color theme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none"/>
      <right style="medium">
        <color theme="1"/>
      </right>
      <top style="medium">
        <color auto="1"/>
      </top>
      <bottom style="medium">
        <color auto="1"/>
      </bottom>
      <diagonal style="none"/>
    </border>
    <border>
      <left style="medium">
        <color theme="1"/>
      </left>
      <right style="medium">
        <color auto="1"/>
      </right>
      <top style="none"/>
      <bottom style="medium">
        <color theme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theme="1"/>
      </bottom>
      <diagonal style="none"/>
    </border>
    <border>
      <left style="medium">
        <color auto="1"/>
      </left>
      <right style="medium">
        <color theme="1"/>
      </right>
      <top style="medium">
        <color auto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medium">
        <color theme="1"/>
      </right>
      <top style="none"/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theme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theme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theme="1"/>
      </bottom>
      <diagonal style="none"/>
    </border>
    <border>
      <left style="none"/>
      <right style="none"/>
      <top style="medium">
        <color auto="1"/>
      </top>
      <bottom style="medium">
        <color theme="1"/>
      </bottom>
      <diagonal style="none"/>
    </border>
    <border>
      <left style="medium">
        <color theme="1"/>
      </left>
      <right style="medium">
        <color auto="1"/>
      </right>
      <top style="medium">
        <color theme="1"/>
      </top>
      <bottom style="none"/>
      <diagonal style="none"/>
    </border>
    <border>
      <left style="none"/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none"/>
      <right style="medium">
        <color auto="1"/>
      </right>
      <top style="medium">
        <color theme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theme="1"/>
      </top>
      <bottom style="none"/>
      <diagonal style="none"/>
    </border>
    <border>
      <left style="medium">
        <color auto="1"/>
      </left>
      <right style="medium">
        <color theme="1"/>
      </right>
      <top style="medium">
        <color theme="1"/>
      </top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medium">
        <color theme="1"/>
      </right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theme="1"/>
      </right>
      <top style="none"/>
      <bottom style="none"/>
      <diagonal style="none"/>
    </border>
    <border>
      <left style="medium">
        <color theme="1"/>
      </left>
      <right style="medium">
        <color theme="1"/>
      </right>
      <top style="none"/>
      <bottom style="none"/>
      <diagonal style="none"/>
    </border>
    <border>
      <left style="none"/>
      <right style="thin">
        <color theme="1"/>
      </right>
      <top style="none"/>
      <bottom style="medium">
        <color theme="1"/>
      </bottom>
      <diagonal style="none"/>
    </border>
    <border>
      <left style="thin">
        <color theme="1"/>
      </left>
      <right style="medium">
        <color theme="1"/>
      </right>
      <top style="none"/>
      <bottom style="medium">
        <color theme="1"/>
      </bottom>
      <diagonal style="none"/>
    </border>
    <border>
      <left style="medium">
        <color auto="1"/>
      </left>
      <right style="none"/>
      <top style="none"/>
      <bottom style="medium">
        <color theme="1"/>
      </bottom>
      <diagonal style="none"/>
    </border>
    <border>
      <left style="none"/>
      <right style="none"/>
      <top style="none"/>
      <bottom style="medium">
        <color theme="1"/>
      </bottom>
      <diagonal style="none"/>
    </border>
    <border>
      <left style="none"/>
      <right style="medium">
        <color auto="1"/>
      </right>
      <top style="none"/>
      <bottom style="medium">
        <color theme="1"/>
      </bottom>
      <diagonal style="none"/>
    </border>
    <border>
      <left style="medium">
        <color auto="1"/>
      </left>
      <right style="medium">
        <color theme="1"/>
      </right>
      <top style="none"/>
      <bottom style="medium">
        <color theme="1"/>
      </bottom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medium">
        <color theme="1"/>
      </left>
      <right style="medium">
        <color theme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medium">
        <color theme="1"/>
      </left>
      <right style="medium">
        <color theme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medium">
        <color theme="1"/>
      </left>
      <right style="medium">
        <color theme="1"/>
      </right>
      <top style="thin">
        <color auto="1"/>
      </top>
      <bottom style="medium">
        <color theme="1"/>
      </bottom>
      <diagonal style="none"/>
    </border>
    <border>
      <left style="medium">
        <color theme="1"/>
      </left>
      <right style="medium">
        <color auto="1"/>
      </right>
      <top style="medium">
        <color theme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theme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theme="1"/>
      </top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92">
    <xf fontId="0" fillId="0" borderId="0" numFmtId="0" xfId="0"/>
    <xf fontId="0" fillId="2" borderId="1" numFmtId="0" xfId="0" applyFill="1" applyBorder="1"/>
    <xf fontId="0" fillId="2" borderId="2" numFmtId="0" xfId="0" applyFill="1" applyBorder="1"/>
    <xf fontId="0" fillId="3" borderId="3" numFmtId="0" xfId="0" applyFill="1" applyBorder="1"/>
    <xf fontId="0" fillId="2" borderId="4" numFmtId="0" xfId="0" applyFill="1" applyBorder="1"/>
    <xf fontId="0" fillId="0" borderId="5" numFmtId="0" xfId="0" applyBorder="1"/>
    <xf fontId="0" fillId="0" borderId="6" numFmtId="0" xfId="0" applyBorder="1"/>
    <xf fontId="0" fillId="0" borderId="7" numFmtId="164" xfId="0" applyNumberFormat="1" applyBorder="1"/>
    <xf fontId="0" fillId="0" borderId="8" numFmtId="0" xfId="0" applyBorder="1"/>
    <xf fontId="0" fillId="0" borderId="9" numFmtId="0" xfId="0" applyBorder="1"/>
    <xf fontId="0" fillId="2" borderId="10" numFmtId="164" xfId="0" applyNumberFormat="1" applyFill="1" applyBorder="1"/>
    <xf fontId="0" fillId="0" borderId="11" numFmtId="0" xfId="0" applyBorder="1"/>
    <xf fontId="0" fillId="0" borderId="12" numFmtId="0" xfId="0" applyBorder="1"/>
    <xf fontId="0" fillId="0" borderId="13" numFmtId="164" xfId="0" applyNumberFormat="1" applyBorder="1"/>
    <xf fontId="0" fillId="4" borderId="14" numFmtId="0" xfId="0" applyFill="1" applyBorder="1"/>
    <xf fontId="0" fillId="2" borderId="14" numFmtId="0" xfId="0" applyFill="1" applyBorder="1"/>
    <xf fontId="0" fillId="5" borderId="15" numFmtId="0" xfId="0" applyFill="1" applyBorder="1"/>
    <xf fontId="0" fillId="2" borderId="16" numFmtId="0" xfId="0" applyFill="1" applyBorder="1"/>
    <xf fontId="0" fillId="6" borderId="15" numFmtId="0" xfId="0" applyFill="1" applyBorder="1"/>
    <xf fontId="0" fillId="6" borderId="17" numFmtId="0" xfId="0" applyFill="1" applyBorder="1"/>
    <xf fontId="0" fillId="6" borderId="15" numFmtId="164" xfId="0" applyNumberFormat="1" applyFill="1" applyBorder="1"/>
    <xf fontId="0" fillId="2" borderId="18" numFmtId="0" xfId="0" applyFill="1" applyBorder="1"/>
    <xf fontId="0" fillId="2" borderId="19" numFmtId="0" xfId="0" applyFill="1" applyBorder="1"/>
    <xf fontId="0" fillId="2" borderId="20" numFmtId="0" xfId="0" applyFill="1" applyBorder="1" applyAlignment="1">
      <alignment horizontal="center"/>
    </xf>
    <xf fontId="0" fillId="2" borderId="21" numFmtId="0" xfId="0" applyFill="1" applyBorder="1" applyAlignment="1">
      <alignment horizontal="center"/>
    </xf>
    <xf fontId="0" fillId="2" borderId="19" numFmtId="0" xfId="0" applyFill="1" applyBorder="1" applyAlignment="1">
      <alignment horizontal="center"/>
    </xf>
    <xf fontId="0" fillId="2" borderId="20" numFmtId="0" xfId="0" applyFill="1" applyBorder="1"/>
    <xf fontId="0" fillId="2" borderId="19" numFmtId="0" xfId="0" applyFill="1" applyBorder="1"/>
    <xf fontId="0" fillId="0" borderId="22" numFmtId="0" xfId="0" applyBorder="1"/>
    <xf fontId="0" fillId="0" borderId="23" numFmtId="0" xfId="0" applyBorder="1"/>
    <xf fontId="0" fillId="0" borderId="24" numFmtId="0" xfId="0" applyBorder="1"/>
    <xf fontId="0" fillId="0" borderId="22" numFmtId="164" xfId="0" applyNumberFormat="1" applyBorder="1"/>
    <xf fontId="0" fillId="0" borderId="0" numFmtId="0" xfId="0" applyAlignment="1">
      <alignment horizontal="right"/>
    </xf>
    <xf fontId="0" fillId="0" borderId="25" numFmtId="2" xfId="0" applyNumberFormat="1" applyBorder="1" applyAlignment="1">
      <alignment horizontal="right"/>
    </xf>
    <xf fontId="0" fillId="0" borderId="26" numFmtId="164" xfId="0" applyNumberFormat="1" applyBorder="1"/>
    <xf fontId="0" fillId="0" borderId="27" numFmtId="2" xfId="0" applyNumberFormat="1" applyBorder="1"/>
    <xf fontId="0" fillId="0" borderId="14" numFmtId="0" xfId="0" applyBorder="1"/>
    <xf fontId="0" fillId="0" borderId="28" numFmtId="0" xfId="0" applyBorder="1"/>
    <xf fontId="0" fillId="0" borderId="29" numFmtId="0" xfId="0" applyBorder="1"/>
    <xf fontId="0" fillId="0" borderId="8" numFmtId="164" xfId="0" applyNumberFormat="1" applyBorder="1"/>
    <xf fontId="0" fillId="0" borderId="30" numFmtId="2" xfId="0" applyNumberFormat="1" applyBorder="1" applyAlignment="1">
      <alignment horizontal="right"/>
    </xf>
    <xf fontId="0" fillId="0" borderId="9" numFmtId="164" xfId="0" applyNumberFormat="1" applyBorder="1"/>
    <xf fontId="0" fillId="0" borderId="31" numFmtId="2" xfId="0" applyNumberFormat="1" applyBorder="1"/>
    <xf fontId="0" fillId="0" borderId="32" numFmtId="0" xfId="0" applyBorder="1"/>
    <xf fontId="0" fillId="0" borderId="8" numFmtId="165" xfId="0" applyNumberFormat="1" applyBorder="1"/>
    <xf fontId="0" fillId="0" borderId="0" numFmtId="2" xfId="0" applyNumberFormat="1" applyAlignment="1">
      <alignment horizontal="right"/>
    </xf>
    <xf fontId="0" fillId="0" borderId="33" numFmtId="0" xfId="0" applyBorder="1"/>
    <xf fontId="0" fillId="0" borderId="34" numFmtId="0" xfId="0" applyBorder="1"/>
    <xf fontId="0" fillId="0" borderId="11" numFmtId="164" xfId="0" applyNumberFormat="1" applyBorder="1"/>
    <xf fontId="0" fillId="0" borderId="35" numFmtId="0" xfId="0" applyBorder="1" applyAlignment="1">
      <alignment horizontal="right"/>
    </xf>
    <xf fontId="0" fillId="0" borderId="36" numFmtId="0" xfId="0" applyBorder="1" applyAlignment="1">
      <alignment horizontal="right"/>
    </xf>
    <xf fontId="0" fillId="0" borderId="37" numFmtId="2" xfId="0" applyNumberFormat="1" applyBorder="1" applyAlignment="1">
      <alignment horizontal="right"/>
    </xf>
    <xf fontId="0" fillId="0" borderId="12" numFmtId="164" xfId="0" applyNumberFormat="1" applyBorder="1"/>
    <xf fontId="0" fillId="0" borderId="38" numFmtId="2" xfId="0" applyNumberFormat="1" applyBorder="1"/>
    <xf fontId="0" fillId="0" borderId="15" numFmtId="0" xfId="0" applyBorder="1"/>
    <xf fontId="0" fillId="2" borderId="39" numFmtId="0" xfId="0" applyFill="1" applyBorder="1" applyAlignment="1">
      <alignment horizontal="center"/>
    </xf>
    <xf fontId="0" fillId="2" borderId="40" numFmtId="0" xfId="0" applyFill="1" applyBorder="1" applyAlignment="1">
      <alignment horizontal="center"/>
    </xf>
    <xf fontId="0" fillId="0" borderId="0" numFmtId="0" xfId="0">
      <protection hidden="0" locked="1"/>
    </xf>
    <xf fontId="0" fillId="0" borderId="41" numFmtId="0" xfId="0" applyBorder="1"/>
    <xf fontId="0" fillId="0" borderId="42" numFmtId="0" xfId="0" applyBorder="1"/>
    <xf fontId="0" fillId="0" borderId="42" numFmtId="2" xfId="0" applyNumberFormat="1" applyBorder="1"/>
    <xf fontId="0" fillId="0" borderId="42" numFmtId="164" xfId="0" applyNumberFormat="1" applyBorder="1"/>
    <xf fontId="0" fillId="0" borderId="43" numFmtId="0" xfId="0" applyBorder="1"/>
    <xf fontId="0" fillId="2" borderId="44" numFmtId="0" xfId="0" applyFill="1" applyBorder="1"/>
    <xf fontId="0" fillId="2" borderId="45" numFmtId="0" xfId="0" applyFill="1" applyBorder="1"/>
    <xf fontId="0" fillId="0" borderId="46" numFmtId="0" xfId="0" applyBorder="1"/>
    <xf fontId="0" fillId="0" borderId="47" numFmtId="0" xfId="0" applyBorder="1"/>
    <xf fontId="0" fillId="0" borderId="48" numFmtId="164" xfId="0" applyNumberFormat="1" applyBorder="1"/>
    <xf fontId="0" fillId="0" borderId="49" numFmtId="0" xfId="0" applyBorder="1"/>
    <xf fontId="0" fillId="2" borderId="50" numFmtId="0" xfId="0" applyFill="1" applyBorder="1"/>
    <xf fontId="0" fillId="6" borderId="51" numFmtId="0" xfId="0" applyFill="1" applyBorder="1"/>
    <xf fontId="0" fillId="6" borderId="52" numFmtId="0" xfId="0" applyFill="1" applyBorder="1"/>
    <xf fontId="0" fillId="0" borderId="53" numFmtId="164" xfId="0" applyNumberFormat="1" applyBorder="1"/>
    <xf fontId="0" fillId="2" borderId="54" numFmtId="0" xfId="0" applyFill="1" applyBorder="1"/>
    <xf fontId="0" fillId="2" borderId="2" numFmtId="0" xfId="0" applyFill="1" applyBorder="1"/>
    <xf fontId="0" fillId="2" borderId="26" numFmtId="0" xfId="0" applyFill="1" applyBorder="1"/>
    <xf fontId="0" fillId="2" borderId="55" numFmtId="0" xfId="0" applyFill="1" applyBorder="1"/>
    <xf fontId="0" fillId="2" borderId="56" numFmtId="0" xfId="0" applyFill="1" applyBorder="1" applyAlignment="1">
      <alignment horizontal="center"/>
    </xf>
    <xf fontId="0" fillId="2" borderId="2" numFmtId="0" xfId="0" applyFill="1" applyBorder="1" applyAlignment="1">
      <alignment horizontal="center"/>
    </xf>
    <xf fontId="0" fillId="2" borderId="3" numFmtId="0" xfId="0" applyFill="1" applyBorder="1" applyAlignment="1">
      <alignment horizontal="center"/>
    </xf>
    <xf fontId="0" fillId="2" borderId="57" numFmtId="0" xfId="0" applyFill="1" applyBorder="1"/>
    <xf fontId="0" fillId="2" borderId="58" numFmtId="0" xfId="0" applyFill="1" applyBorder="1"/>
    <xf fontId="0" fillId="0" borderId="8" numFmtId="2" xfId="0" applyNumberFormat="1" applyBorder="1"/>
    <xf fontId="0" fillId="0" borderId="59" numFmtId="0" xfId="0" applyBorder="1"/>
    <xf fontId="0" fillId="0" borderId="30" numFmtId="164" xfId="0" applyNumberFormat="1" applyBorder="1"/>
    <xf fontId="0" fillId="0" borderId="9" numFmtId="2" xfId="0" applyNumberFormat="1" applyBorder="1"/>
    <xf fontId="0" fillId="0" borderId="49" numFmtId="2" xfId="0" applyNumberFormat="1" applyBorder="1"/>
    <xf fontId="0" fillId="0" borderId="11" numFmtId="2" xfId="0" applyNumberFormat="1" applyBorder="1"/>
    <xf fontId="0" fillId="0" borderId="35" numFmtId="0" xfId="0" applyBorder="1"/>
    <xf fontId="0" fillId="0" borderId="37" numFmtId="164" xfId="0" applyNumberFormat="1" applyBorder="1"/>
    <xf fontId="0" fillId="0" borderId="12" numFmtId="2" xfId="0" applyNumberFormat="1" applyBorder="1"/>
    <xf fontId="1" fillId="0" borderId="0" numFmt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worksheet" Target="worksheets/sheet2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2" workbookViewId="0">
      <selection activeCell="N17" activeCellId="0" sqref="N17"/>
    </sheetView>
  </sheetViews>
  <sheetFormatPr defaultRowHeight="12.75"/>
  <cols>
    <col bestFit="1" min="1" max="1" width="11.76171875"/>
    <col bestFit="1" customWidth="1" min="2" max="3" width="14.90234375"/>
    <col bestFit="1" min="4" max="4" width="10.7109375"/>
    <col bestFit="1" min="5" max="5" width="11.76171875"/>
    <col bestFit="1" customWidth="1" min="6" max="6" width="12.140625"/>
    <col customWidth="1" min="7" max="7" width="10.28125"/>
    <col bestFit="1" customWidth="1" min="8" max="8" width="12.04296875"/>
    <col bestFit="1" customWidth="1" min="9" max="9" width="14.23046875"/>
    <col bestFit="1" customWidth="1" min="10" max="10" width="12.23046875"/>
    <col bestFit="1" min="11" max="11" width="5.47265625"/>
    <col bestFit="1" min="12" max="12" width="7.57421875"/>
  </cols>
  <sheetData>
    <row r="1" ht="13.1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ht="13.15">
      <c r="A2" s="5">
        <v>0.29499999999999998</v>
      </c>
      <c r="B2" s="6">
        <v>1.2e-002</v>
      </c>
      <c r="C2" s="6">
        <v>2.4900000000000002</v>
      </c>
      <c r="D2" s="6">
        <v>1.e-002</v>
      </c>
      <c r="E2" s="7">
        <f>SQRT(A8^2+C8^2)</f>
        <v>2.4749781728905389</v>
      </c>
    </row>
    <row r="3">
      <c r="A3" s="8">
        <v>0.30199999999999999</v>
      </c>
      <c r="B3" s="9">
        <v>1.4999999999999999e-002</v>
      </c>
      <c r="C3" s="9">
        <v>2.4500000000000002</v>
      </c>
      <c r="D3" s="9">
        <v>1.2999999999999999e-002</v>
      </c>
      <c r="E3" s="10" t="s">
        <v>5</v>
      </c>
      <c r="F3"/>
    </row>
    <row r="4">
      <c r="A4" s="8">
        <v>0.29699999999999999</v>
      </c>
      <c r="B4" s="9">
        <v>1.0999999999999999e-002</v>
      </c>
      <c r="C4" s="9">
        <v>2.4500000000000002</v>
      </c>
      <c r="D4" s="9">
        <v>1.e-002</v>
      </c>
      <c r="E4" s="7">
        <f>E2/2</f>
        <v>1.2374890864452694</v>
      </c>
    </row>
    <row r="5">
      <c r="A5" s="8">
        <v>0.24199999999999999</v>
      </c>
      <c r="B5" s="9">
        <v>1.4e-002</v>
      </c>
      <c r="C5" s="9">
        <v>2.4399999999999999</v>
      </c>
      <c r="D5" s="9">
        <v>1.2999999999999999e-002</v>
      </c>
      <c r="E5" s="10" t="s">
        <v>6</v>
      </c>
    </row>
    <row r="6">
      <c r="A6" s="11">
        <v>0.28199999999999997</v>
      </c>
      <c r="B6" s="12">
        <v>1.2e-002</v>
      </c>
      <c r="C6" s="12">
        <v>2.4500000000000002</v>
      </c>
      <c r="D6" s="12">
        <v>1.0999999999999999e-002</v>
      </c>
      <c r="E6" s="13">
        <f>E2*2</f>
        <v>4.9499563457810778</v>
      </c>
    </row>
    <row r="7" ht="13.15">
      <c r="A7" s="14" t="s">
        <v>7</v>
      </c>
      <c r="B7" s="15" t="s">
        <v>8</v>
      </c>
      <c r="C7" s="14" t="s">
        <v>9</v>
      </c>
      <c r="D7" s="15" t="s">
        <v>8</v>
      </c>
    </row>
    <row r="8" ht="12.75">
      <c r="A8" s="16">
        <f>((A2/B2^2)+(A3/B3^2)+(A4/B4^2)+(A5/B5^2)+(A6/B6^2))/((1/B2^2)+(1/B3^2)+(1/B4^2)+(1/B5^2)+(1/B6^2))</f>
        <v>0.28512468408871228</v>
      </c>
      <c r="B8" s="16">
        <f>SQRT(1/((1/B2^2)+(1/B3^2)+(1/B4^2)+(1/B5^2)+(1/B6^2)))</f>
        <v>5.616574006704656e-003</v>
      </c>
      <c r="C8" s="16">
        <f>((C2/D2^2)+(C3/D3^2)+(C4/D4^2)+(C5/D5^2)+(C6/D6^2))/((1/D2^2)+(1/D3^2)+(1/D4^2)+(1/D5^2)+(1/D6^2))</f>
        <v>2.4584997195053537</v>
      </c>
      <c r="D8" s="16">
        <f>SQRT(1/((1/D2^2)+(1/D3^2)+(1/D4^2)+(1/D5^2)+(1/D6^2)))</f>
        <v>4.9938375155813399e-003</v>
      </c>
      <c r="F8"/>
    </row>
    <row r="9" ht="12.75">
      <c r="A9" s="15" t="s">
        <v>10</v>
      </c>
      <c r="B9" s="17" t="s">
        <v>11</v>
      </c>
      <c r="C9" s="15" t="s">
        <v>12</v>
      </c>
      <c r="D9" s="17" t="s">
        <v>11</v>
      </c>
    </row>
    <row r="10" ht="13.15">
      <c r="A10" s="18">
        <f>AVERAGE(A2:A6)</f>
        <v>0.28359999999999996</v>
      </c>
      <c r="B10" s="19">
        <f>_xlfn.STDEV.S(A2:A6)/SQRT(5)</f>
        <v>1.0911461863563468e-002</v>
      </c>
      <c r="C10" s="20">
        <f>AVERAGE(C2:C6)</f>
        <v>2.4560000000000004</v>
      </c>
      <c r="D10" s="19">
        <f>_xlfn.STDEV.S(C2:C6)/SQRT(5)</f>
        <v>8.7177978870813765e-003</v>
      </c>
    </row>
    <row r="11" ht="13.15"/>
    <row r="12">
      <c r="A12" s="21" t="s">
        <v>13</v>
      </c>
      <c r="B12" s="22" t="s">
        <v>14</v>
      </c>
      <c r="C12" s="21" t="s">
        <v>15</v>
      </c>
      <c r="D12" s="21" t="s">
        <v>16</v>
      </c>
      <c r="E12" s="23" t="s">
        <v>17</v>
      </c>
      <c r="F12" s="24"/>
      <c r="G12" s="25"/>
      <c r="H12" s="21" t="s">
        <v>18</v>
      </c>
      <c r="I12" s="21" t="s">
        <v>19</v>
      </c>
      <c r="J12" s="26" t="s">
        <v>20</v>
      </c>
      <c r="K12" s="27" t="s">
        <v>21</v>
      </c>
    </row>
    <row r="13">
      <c r="A13" s="28">
        <v>1.7</v>
      </c>
      <c r="B13" s="29">
        <v>1.27</v>
      </c>
      <c r="C13" s="30">
        <v>1.e-002</v>
      </c>
      <c r="D13" s="31">
        <f t="shared" ref="D13:D23" si="0">2*PI()/B13</f>
        <v>4.9473900056532178</v>
      </c>
      <c r="E13" s="32">
        <v>5.04</v>
      </c>
      <c r="F13" s="32">
        <v>5.04</v>
      </c>
      <c r="G13" s="33">
        <v>4.9500000000000002</v>
      </c>
      <c r="H13" s="34">
        <f t="shared" ref="H13:H23" si="1">AVERAGE(E13:G13)</f>
        <v>5.0100000000000007</v>
      </c>
      <c r="I13" s="34">
        <f t="shared" ref="I13:I23" si="2">2*PI()/H13</f>
        <v>1.2541288038282605</v>
      </c>
      <c r="J13" s="35">
        <v>2.1600000000000001</v>
      </c>
      <c r="K13" s="36">
        <v>5.0000000000000003e-002</v>
      </c>
    </row>
    <row r="14">
      <c r="A14" s="8">
        <v>1.8</v>
      </c>
      <c r="B14" s="37">
        <v>1.4299999999999999</v>
      </c>
      <c r="C14" s="38">
        <v>1.e-002</v>
      </c>
      <c r="D14" s="39">
        <f t="shared" si="0"/>
        <v>4.3938358791465637</v>
      </c>
      <c r="E14" s="32">
        <v>4.4100000000000001</v>
      </c>
      <c r="F14" s="32">
        <v>4.5300000000000002</v>
      </c>
      <c r="G14" s="40">
        <v>4.3700000000000001</v>
      </c>
      <c r="H14" s="41">
        <f t="shared" si="1"/>
        <v>4.4366666666666674</v>
      </c>
      <c r="I14" s="41">
        <f t="shared" si="2"/>
        <v>1.4161950354274047</v>
      </c>
      <c r="J14" s="42">
        <v>2.2999999999999998</v>
      </c>
      <c r="K14" s="43">
        <v>5.0000000000000003e-002</v>
      </c>
    </row>
    <row r="15">
      <c r="A15" s="44">
        <v>2</v>
      </c>
      <c r="B15" s="37">
        <v>1.6100000000000001</v>
      </c>
      <c r="C15" s="38">
        <v>1.e-002</v>
      </c>
      <c r="D15" s="39">
        <f t="shared" si="0"/>
        <v>3.9025995696767612</v>
      </c>
      <c r="E15" s="32">
        <v>3.8599999999999999</v>
      </c>
      <c r="F15" s="32">
        <v>3.8700000000000001</v>
      </c>
      <c r="G15" s="40">
        <v>3.96</v>
      </c>
      <c r="H15" s="41">
        <f t="shared" si="1"/>
        <v>3.8966666666666669</v>
      </c>
      <c r="I15" s="41">
        <f t="shared" si="2"/>
        <v>1.6124513192077636</v>
      </c>
      <c r="J15" s="42">
        <v>2.6000000000000001</v>
      </c>
      <c r="K15" s="43">
        <v>5.0000000000000003e-002</v>
      </c>
    </row>
    <row r="16">
      <c r="A16" s="8">
        <v>2.2999999999999998</v>
      </c>
      <c r="B16" s="37">
        <v>2.0299999999999998</v>
      </c>
      <c r="C16" s="38">
        <v>1.e-002</v>
      </c>
      <c r="D16" s="39">
        <f t="shared" si="0"/>
        <v>3.0951651759505352</v>
      </c>
      <c r="E16" s="32">
        <v>3.0800000000000001</v>
      </c>
      <c r="F16" s="32">
        <v>3.0800000000000001</v>
      </c>
      <c r="G16" s="40">
        <v>3.1099999999999999</v>
      </c>
      <c r="H16" s="41">
        <f t="shared" si="1"/>
        <v>3.0899999999999999</v>
      </c>
      <c r="I16" s="41">
        <f t="shared" si="2"/>
        <v>2.0333933032943645</v>
      </c>
      <c r="J16" s="42">
        <v>3.6699999999999999</v>
      </c>
      <c r="K16" s="43">
        <v>5.0000000000000003e-002</v>
      </c>
    </row>
    <row r="17">
      <c r="A17" s="8">
        <v>3.2000000000000002</v>
      </c>
      <c r="B17" s="37">
        <v>3.1400000000000001</v>
      </c>
      <c r="C17" s="38">
        <v>1.e-002</v>
      </c>
      <c r="D17" s="39">
        <f t="shared" si="0"/>
        <v>2.0010144290380847</v>
      </c>
      <c r="E17" s="45">
        <v>2</v>
      </c>
      <c r="F17" s="32">
        <v>1.99</v>
      </c>
      <c r="G17" s="40">
        <v>2</v>
      </c>
      <c r="H17" s="41">
        <f t="shared" si="1"/>
        <v>1.9966666666666668</v>
      </c>
      <c r="I17" s="41">
        <f t="shared" si="2"/>
        <v>3.1468373825607276</v>
      </c>
      <c r="J17" s="42">
        <v>2.9900000000000002</v>
      </c>
      <c r="K17" s="43">
        <v>5.0000000000000003e-002</v>
      </c>
    </row>
    <row r="18">
      <c r="A18" s="8">
        <v>3.6000000000000001</v>
      </c>
      <c r="B18" s="37">
        <v>3.6800000000000002</v>
      </c>
      <c r="C18" s="38">
        <v>1.e-002</v>
      </c>
      <c r="D18" s="39">
        <f t="shared" si="0"/>
        <v>1.7073873117335832</v>
      </c>
      <c r="E18" s="45">
        <v>1.7</v>
      </c>
      <c r="F18" s="32">
        <v>1.71</v>
      </c>
      <c r="G18" s="40">
        <v>1.71</v>
      </c>
      <c r="H18" s="41">
        <f t="shared" si="1"/>
        <v>1.7066666666666668</v>
      </c>
      <c r="I18" s="41">
        <f t="shared" si="2"/>
        <v>3.6815538909255388</v>
      </c>
      <c r="J18" s="42">
        <v>1.5800000000000001</v>
      </c>
      <c r="K18" s="43">
        <v>5.0000000000000003e-002</v>
      </c>
    </row>
    <row r="19">
      <c r="A19" s="8">
        <v>4.2000000000000002</v>
      </c>
      <c r="B19" s="37">
        <v>4.3899999999999997</v>
      </c>
      <c r="C19" s="38">
        <v>1.e-002</v>
      </c>
      <c r="D19" s="39">
        <f t="shared" si="0"/>
        <v>1.4312495004964889</v>
      </c>
      <c r="E19" s="32">
        <v>1.4399999999999999</v>
      </c>
      <c r="F19" s="32">
        <v>1.4299999999999999</v>
      </c>
      <c r="G19" s="40">
        <v>1.4299999999999999</v>
      </c>
      <c r="H19" s="41">
        <f t="shared" si="1"/>
        <v>1.4333333333333333</v>
      </c>
      <c r="I19" s="41">
        <f t="shared" si="2"/>
        <v>4.3836176561718041</v>
      </c>
      <c r="J19" s="42">
        <v>0.89300000000000002</v>
      </c>
      <c r="K19" s="43">
        <v>5.0000000000000003e-002</v>
      </c>
    </row>
    <row r="20">
      <c r="A20" s="8">
        <v>4.5</v>
      </c>
      <c r="B20" s="37">
        <v>4.75</v>
      </c>
      <c r="C20" s="38">
        <v>1.e-002</v>
      </c>
      <c r="D20" s="39">
        <f t="shared" si="0"/>
        <v>1.3227758541430708</v>
      </c>
      <c r="E20" s="32">
        <v>1.3300000000000001</v>
      </c>
      <c r="F20" s="32">
        <v>1.3300000000000001</v>
      </c>
      <c r="G20" s="40">
        <v>1.3200000000000001</v>
      </c>
      <c r="H20" s="41">
        <f t="shared" si="1"/>
        <v>1.3266666666666669</v>
      </c>
      <c r="I20" s="41">
        <f t="shared" si="2"/>
        <v>4.7360693270197878</v>
      </c>
      <c r="J20" s="42">
        <v>0.71399999999999997</v>
      </c>
      <c r="K20" s="43">
        <v>5.0000000000000003e-002</v>
      </c>
    </row>
    <row r="21" ht="13.15">
      <c r="A21" s="11">
        <v>4.7000000000000002</v>
      </c>
      <c r="B21" s="46">
        <v>4.9500000000000002</v>
      </c>
      <c r="C21" s="47">
        <v>1.e-002</v>
      </c>
      <c r="D21" s="48">
        <f t="shared" si="0"/>
        <v>1.2693303650867851</v>
      </c>
      <c r="E21" s="49">
        <v>1.26</v>
      </c>
      <c r="F21" s="50">
        <v>1.28</v>
      </c>
      <c r="G21" s="51">
        <v>1.2669999999999999</v>
      </c>
      <c r="H21" s="52">
        <f t="shared" si="1"/>
        <v>1.2689999999999999</v>
      </c>
      <c r="I21" s="52">
        <f t="shared" si="2"/>
        <v>4.9512886581399425</v>
      </c>
      <c r="J21" s="53">
        <v>0.63400000000000001</v>
      </c>
      <c r="K21" s="54">
        <v>5.0000000000000003e-002</v>
      </c>
    </row>
    <row r="22" ht="13.5">
      <c r="A22" s="55" t="s">
        <v>22</v>
      </c>
      <c r="B22" s="56"/>
      <c r="C22" s="57"/>
      <c r="D22" s="57"/>
      <c r="E22" s="57"/>
      <c r="F22" s="57"/>
      <c r="G22" s="57"/>
      <c r="H22" s="57"/>
      <c r="I22" s="57"/>
      <c r="J22" s="57"/>
      <c r="K22" s="57"/>
    </row>
    <row r="23" ht="12.75">
      <c r="A23" s="58">
        <v>2.7000000000000002</v>
      </c>
      <c r="B23" s="59">
        <v>2.54</v>
      </c>
      <c r="C23" s="59">
        <v>1.e-002</v>
      </c>
      <c r="D23" s="60">
        <f t="shared" si="0"/>
        <v>2.4736950028266089</v>
      </c>
      <c r="E23" s="59">
        <v>2.5099999999999998</v>
      </c>
      <c r="F23" s="59">
        <v>2.5099999999999998</v>
      </c>
      <c r="G23" s="59">
        <v>2.46</v>
      </c>
      <c r="H23" s="60">
        <f t="shared" si="1"/>
        <v>2.4933333333333332</v>
      </c>
      <c r="I23" s="61">
        <f t="shared" si="2"/>
        <v>2.5199941071575882</v>
      </c>
      <c r="J23" s="59">
        <v>6.1100000000000003</v>
      </c>
      <c r="K23" s="62">
        <v>5.0000000000000003e-002</v>
      </c>
    </row>
  </sheetData>
  <mergeCells count="2">
    <mergeCell ref="E12:G12"/>
    <mergeCell ref="A22:B2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0" activeCellId="0" sqref="C10"/>
    </sheetView>
  </sheetViews>
  <sheetFormatPr defaultRowHeight="12.75"/>
  <cols>
    <col bestFit="1" customWidth="1" min="1" max="1" width="11.76171875"/>
    <col bestFit="1" customWidth="1" min="2" max="2" width="14.90234375"/>
    <col bestFit="1" customWidth="1" min="3" max="4" width="11.76171875"/>
    <col bestFit="1" min="5" max="5" width="12.140625"/>
    <col customWidth="1" min="6" max="7" width="11.28125"/>
    <col bestFit="1" min="8" max="8" width="14.23046875"/>
    <col bestFit="1" customWidth="1" min="9" max="9" width="12.23046875"/>
    <col customWidth="1" min="10" max="10" width="8.421875"/>
  </cols>
  <sheetData>
    <row r="1">
      <c r="A1" s="63" t="s">
        <v>0</v>
      </c>
      <c r="B1" s="63" t="s">
        <v>1</v>
      </c>
      <c r="C1" s="63" t="s">
        <v>2</v>
      </c>
      <c r="D1" s="63" t="s">
        <v>3</v>
      </c>
      <c r="E1" s="64" t="s">
        <v>4</v>
      </c>
    </row>
    <row r="2">
      <c r="A2" s="65">
        <v>0.25600000000000001</v>
      </c>
      <c r="B2" s="65">
        <v>4.5999999999999999e-003</v>
      </c>
      <c r="C2" s="65">
        <v>2.5699999999999998</v>
      </c>
      <c r="D2" s="66">
        <v>4.4000000000000003e-003</v>
      </c>
      <c r="E2" s="67">
        <f>SQRT(A6^2+C6^2)</f>
        <v>2.6210670338218649</v>
      </c>
      <c r="G2" s="57"/>
      <c r="H2" s="57"/>
      <c r="I2" s="57"/>
      <c r="J2" s="57"/>
      <c r="K2" s="57"/>
      <c r="L2" s="57"/>
    </row>
    <row r="3">
      <c r="A3" s="9">
        <v>0.26700000000000002</v>
      </c>
      <c r="B3" s="9">
        <v>2.0999999999999999e-003</v>
      </c>
      <c r="C3" s="9">
        <v>2.5899999999999999</v>
      </c>
      <c r="D3" s="68">
        <v>1.9e-003</v>
      </c>
      <c r="E3" s="69" t="s">
        <v>5</v>
      </c>
      <c r="G3" s="57"/>
      <c r="H3" s="57"/>
      <c r="I3" s="57"/>
      <c r="J3" s="57"/>
      <c r="K3" s="57"/>
      <c r="L3" s="57"/>
    </row>
    <row r="4">
      <c r="A4" s="9">
        <v>0.27400000000000002</v>
      </c>
      <c r="B4" s="9">
        <f>6*10^-4</f>
        <v>5.9999999999999995e-004</v>
      </c>
      <c r="C4" s="9">
        <v>2.6099999999999999</v>
      </c>
      <c r="D4" s="68">
        <f>7*10^-4</f>
        <v>6.9999999999999988e-004</v>
      </c>
      <c r="E4" s="67">
        <f>E2/2</f>
        <v>1.3105335169109325</v>
      </c>
      <c r="G4" s="57"/>
      <c r="H4" s="57"/>
      <c r="I4" s="57"/>
      <c r="J4" s="57"/>
      <c r="K4" s="57"/>
      <c r="L4" s="57"/>
    </row>
    <row r="5" ht="13.15">
      <c r="A5" s="14" t="s">
        <v>7</v>
      </c>
      <c r="B5" s="15" t="s">
        <v>8</v>
      </c>
      <c r="C5" s="14" t="s">
        <v>9</v>
      </c>
      <c r="D5" s="15" t="s">
        <v>8</v>
      </c>
      <c r="E5" s="69" t="s">
        <v>6</v>
      </c>
      <c r="G5" s="57"/>
      <c r="H5" s="57"/>
      <c r="I5" s="57"/>
      <c r="J5" s="57"/>
      <c r="K5" s="57"/>
      <c r="L5" s="57"/>
    </row>
    <row r="6" ht="13.15">
      <c r="A6" s="70">
        <f>((A2/B2^2)+(A3/B3^2)+(A4/B4^2))/((1/B2^2)+(1/B3^2)+(1/B4^2))</f>
        <v>0.27320113772034554</v>
      </c>
      <c r="B6" s="70">
        <f>SQRT(1/((1/B2^2)+(1/B3^2)+(1/B4^2)))</f>
        <v>5.724299964622563e-004</v>
      </c>
      <c r="C6" s="70">
        <f>((C2/D2^2)+(C3/D3^2)+(C4/D4^2))/((1/D2^2)+(1/D3^2)+(1/D4^2))</f>
        <v>2.6067898906770486</v>
      </c>
      <c r="D6" s="71">
        <f>SQRT(1/((1/D2^2)+(1/D3^2)+(1/D4^2)))</f>
        <v>6.4964141370326843e-004</v>
      </c>
      <c r="E6" s="72">
        <f>E2*2</f>
        <v>5.2421340676437298</v>
      </c>
      <c r="G6" s="57"/>
      <c r="H6" s="57"/>
      <c r="I6" s="57"/>
      <c r="J6" s="57"/>
      <c r="K6" s="57"/>
      <c r="L6" s="57"/>
    </row>
    <row r="7">
      <c r="A7" s="15" t="s">
        <v>10</v>
      </c>
      <c r="B7" s="17" t="s">
        <v>11</v>
      </c>
      <c r="C7" s="15" t="s">
        <v>12</v>
      </c>
      <c r="D7" s="17" t="s">
        <v>11</v>
      </c>
      <c r="E7" s="57"/>
      <c r="G7" s="57"/>
      <c r="H7" s="57"/>
      <c r="I7" s="57"/>
      <c r="J7" s="57"/>
      <c r="K7" s="57"/>
      <c r="L7" s="57"/>
    </row>
    <row r="8">
      <c r="A8" s="18">
        <f>AVERAGE(A2:A4)</f>
        <v>0.26566666666666666</v>
      </c>
      <c r="B8" s="19">
        <f>_xlfn.STDEV.S(A2:A4)/SQRT(3)</f>
        <v>5.2387445485005749e-003</v>
      </c>
      <c r="C8" s="18">
        <f>AVERAGE(C2:C4)</f>
        <v>2.5899999999999999</v>
      </c>
      <c r="D8" s="19">
        <f>_xlfn.STDEV.S(C2:C4)/SQRT(3)</f>
        <v>1.1547005383792526e-002</v>
      </c>
      <c r="E8" s="57"/>
      <c r="G8" s="57"/>
      <c r="H8" s="57"/>
      <c r="I8" s="57"/>
      <c r="J8" s="57"/>
      <c r="K8" s="57"/>
      <c r="L8" s="57"/>
    </row>
    <row r="9" ht="12.75">
      <c r="G9" s="57"/>
      <c r="H9" s="57"/>
      <c r="I9" s="57"/>
      <c r="J9" s="57"/>
      <c r="K9" s="57"/>
      <c r="L9" s="57"/>
    </row>
    <row r="10">
      <c r="A10" s="73" t="s">
        <v>13</v>
      </c>
      <c r="B10" s="74" t="s">
        <v>23</v>
      </c>
      <c r="C10" s="75" t="s">
        <v>15</v>
      </c>
      <c r="D10" s="76" t="s">
        <v>16</v>
      </c>
      <c r="E10" s="77" t="s">
        <v>17</v>
      </c>
      <c r="F10" s="78"/>
      <c r="G10" s="79"/>
      <c r="H10" s="76" t="s">
        <v>18</v>
      </c>
      <c r="I10" s="74" t="s">
        <v>24</v>
      </c>
      <c r="J10" s="80" t="s">
        <v>20</v>
      </c>
      <c r="K10" s="81" t="s">
        <v>21</v>
      </c>
    </row>
    <row r="11">
      <c r="A11" s="82">
        <v>1.8</v>
      </c>
      <c r="B11" s="83">
        <v>1.3100000000000001</v>
      </c>
      <c r="C11" s="36">
        <v>1.e-002</v>
      </c>
      <c r="D11" s="84">
        <f t="shared" ref="D11:D20" si="3">2*PI()/B11</f>
        <v>4.79632466196915</v>
      </c>
      <c r="E11" s="85">
        <v>4.8399999999999999</v>
      </c>
      <c r="F11" s="85">
        <v>4.7400000000000002</v>
      </c>
      <c r="G11" s="85">
        <v>4.8200000000000003</v>
      </c>
      <c r="H11" s="41">
        <f t="shared" ref="H11:H16" si="4">AVERAGE(E11:G11)</f>
        <v>4.7999999999999998</v>
      </c>
      <c r="I11" s="41">
        <f t="shared" ref="I11:I20" si="5">2*PI()/H11</f>
        <v>1.3089969389957472</v>
      </c>
      <c r="J11" s="68">
        <v>2.21</v>
      </c>
      <c r="K11" s="36">
        <v>5.0000000000000003e-002</v>
      </c>
    </row>
    <row r="12">
      <c r="A12" s="82">
        <v>1.8200000000000001</v>
      </c>
      <c r="B12" s="68">
        <v>1.3600000000000001</v>
      </c>
      <c r="C12" s="43">
        <v>1.e-002</v>
      </c>
      <c r="D12" s="84">
        <f t="shared" si="3"/>
        <v>4.6199891964555775</v>
      </c>
      <c r="E12" s="85">
        <v>4.6100000000000003</v>
      </c>
      <c r="F12" s="85">
        <v>4.5999999999999996</v>
      </c>
      <c r="G12" s="85">
        <v>4.6500000000000004</v>
      </c>
      <c r="H12" s="41">
        <f t="shared" si="4"/>
        <v>4.6200000000000001</v>
      </c>
      <c r="I12" s="41">
        <f t="shared" si="5"/>
        <v>1.3599968197358412</v>
      </c>
      <c r="J12" s="68">
        <v>2.2400000000000002</v>
      </c>
      <c r="K12" s="43">
        <v>5.0000000000000003e-002</v>
      </c>
    </row>
    <row r="13">
      <c r="A13" s="82">
        <v>2.2999999999999998</v>
      </c>
      <c r="B13" s="68">
        <v>1.9099999999999999</v>
      </c>
      <c r="C13" s="43">
        <v>1.e-002</v>
      </c>
      <c r="D13" s="84">
        <f t="shared" si="3"/>
        <v>3.2896258152772706</v>
      </c>
      <c r="E13" s="85">
        <v>3.2999999999999998</v>
      </c>
      <c r="F13" s="85">
        <v>3.29</v>
      </c>
      <c r="G13" s="85">
        <v>3.29</v>
      </c>
      <c r="H13" s="41">
        <f t="shared" si="4"/>
        <v>3.293333333333333</v>
      </c>
      <c r="I13" s="41">
        <f t="shared" si="5"/>
        <v>1.9078497896294293</v>
      </c>
      <c r="J13" s="68">
        <v>3.3799999999999999</v>
      </c>
      <c r="K13" s="43">
        <v>5.0000000000000003e-002</v>
      </c>
    </row>
    <row r="14">
      <c r="A14" s="82">
        <v>3.3999999999999999</v>
      </c>
      <c r="B14" s="68">
        <v>3.3799999999999999</v>
      </c>
      <c r="C14" s="43">
        <v>1.e-002</v>
      </c>
      <c r="D14" s="84">
        <f t="shared" si="3"/>
        <v>1.8589305642543155</v>
      </c>
      <c r="E14" s="85">
        <v>1.8600000000000001</v>
      </c>
      <c r="F14" s="85">
        <v>1.8600000000000001</v>
      </c>
      <c r="G14" s="85">
        <v>1.8500000000000001</v>
      </c>
      <c r="H14" s="41">
        <f t="shared" si="4"/>
        <v>1.8566666666666667</v>
      </c>
      <c r="I14" s="41">
        <f t="shared" si="5"/>
        <v>3.384121350366025</v>
      </c>
      <c r="J14" s="68">
        <v>2.3599999999999999</v>
      </c>
      <c r="K14" s="43">
        <v>5.0000000000000003e-002</v>
      </c>
    </row>
    <row r="15">
      <c r="A15" s="82">
        <v>3.7999999999999998</v>
      </c>
      <c r="B15" s="68">
        <v>3.8900000000000001</v>
      </c>
      <c r="C15" s="43">
        <v>1.e-002</v>
      </c>
      <c r="D15" s="84">
        <f t="shared" si="3"/>
        <v>1.6152147319227728</v>
      </c>
      <c r="E15" s="85">
        <v>1.6200000000000001</v>
      </c>
      <c r="F15" s="85">
        <v>1.6200000000000001</v>
      </c>
      <c r="G15" s="85">
        <v>1.6100000000000001</v>
      </c>
      <c r="H15" s="41">
        <f t="shared" si="4"/>
        <v>1.6166666666666669</v>
      </c>
      <c r="I15" s="41">
        <f t="shared" si="5"/>
        <v>3.8865063755750011</v>
      </c>
      <c r="J15" s="68">
        <v>1.3600000000000001</v>
      </c>
      <c r="K15" s="43">
        <v>5.0000000000000003e-002</v>
      </c>
    </row>
    <row r="16" ht="13.15">
      <c r="A16" s="82">
        <v>4</v>
      </c>
      <c r="B16" s="68">
        <v>4.0599999999999996</v>
      </c>
      <c r="C16" s="43">
        <v>1.e-002</v>
      </c>
      <c r="D16" s="84">
        <f t="shared" si="3"/>
        <v>1.5475825879752676</v>
      </c>
      <c r="E16" s="85">
        <v>1.54</v>
      </c>
      <c r="F16" s="85">
        <v>1.55</v>
      </c>
      <c r="G16" s="85">
        <v>1.55</v>
      </c>
      <c r="H16" s="41">
        <f t="shared" si="4"/>
        <v>1.5466666666666666</v>
      </c>
      <c r="I16" s="41">
        <f t="shared" si="5"/>
        <v>4.062404293435077</v>
      </c>
      <c r="J16" s="68">
        <v>1.1699999999999999</v>
      </c>
      <c r="K16" s="43">
        <v>5.0000000000000003e-002</v>
      </c>
    </row>
    <row r="17" ht="12.75">
      <c r="A17" s="82">
        <v>4.2999999999999998</v>
      </c>
      <c r="B17" s="86">
        <v>4.5</v>
      </c>
      <c r="C17" s="43">
        <v>1.e-002</v>
      </c>
      <c r="D17" s="84">
        <f t="shared" si="3"/>
        <v>1.3962634015954636</v>
      </c>
      <c r="E17" s="85">
        <v>1.3999999999999999</v>
      </c>
      <c r="F17" s="85">
        <v>1.3999999999999999</v>
      </c>
      <c r="G17" s="85">
        <v>1.3999999999999999</v>
      </c>
      <c r="H17" s="41">
        <f>AVERAGE(F17:G17)</f>
        <v>1.3999999999999999</v>
      </c>
      <c r="I17" s="41">
        <f t="shared" si="5"/>
        <v>4.4879895051282759</v>
      </c>
      <c r="J17" s="68">
        <v>0.84499999999999997</v>
      </c>
      <c r="K17" s="43">
        <v>5.0000000000000003e-002</v>
      </c>
    </row>
    <row r="18" ht="12.75">
      <c r="A18" s="82">
        <v>4.5999999999999996</v>
      </c>
      <c r="B18" s="68">
        <v>4.8799999999999999</v>
      </c>
      <c r="C18" s="43">
        <v>1.e-002</v>
      </c>
      <c r="D18" s="84">
        <f t="shared" si="3"/>
        <v>1.2875379727827021</v>
      </c>
      <c r="E18" s="85">
        <v>1.3</v>
      </c>
      <c r="F18" s="85">
        <v>1.29</v>
      </c>
      <c r="G18" s="85">
        <v>1.28</v>
      </c>
      <c r="H18" s="41">
        <f t="shared" ref="H18:H20" si="6">AVERAGE(E18:G18)</f>
        <v>1.29</v>
      </c>
      <c r="I18" s="41">
        <f t="shared" si="5"/>
        <v>4.8706862846353376</v>
      </c>
      <c r="J18" s="68">
        <v>0.67300000000000004</v>
      </c>
      <c r="K18" s="43">
        <v>5.0000000000000003e-002</v>
      </c>
    </row>
    <row r="19" ht="12.75">
      <c r="A19" s="82">
        <v>4.7999999999999998</v>
      </c>
      <c r="B19" s="68">
        <v>5.1100000000000003</v>
      </c>
      <c r="C19" s="43">
        <v>1.e-002</v>
      </c>
      <c r="D19" s="84">
        <f t="shared" si="3"/>
        <v>1.2295861657885687</v>
      </c>
      <c r="E19" s="85">
        <v>1.22</v>
      </c>
      <c r="F19" s="85">
        <v>1.23</v>
      </c>
      <c r="G19" s="85">
        <v>1.23</v>
      </c>
      <c r="H19" s="41">
        <f t="shared" si="6"/>
        <v>1.2266666666666668</v>
      </c>
      <c r="I19" s="41">
        <f t="shared" si="5"/>
        <v>5.122161935200749</v>
      </c>
      <c r="J19" s="68">
        <v>0.59299999999999997</v>
      </c>
      <c r="K19" s="43">
        <v>5.0000000000000003e-002</v>
      </c>
    </row>
    <row r="20" ht="12.75">
      <c r="A20" s="87">
        <v>4.9000000000000004</v>
      </c>
      <c r="B20" s="88">
        <v>5.2300000000000004</v>
      </c>
      <c r="C20" s="54">
        <v>1.e-002</v>
      </c>
      <c r="D20" s="89">
        <f t="shared" si="3"/>
        <v>1.2013738637054656</v>
      </c>
      <c r="E20" s="90">
        <v>1.2</v>
      </c>
      <c r="F20" s="90">
        <v>1.2</v>
      </c>
      <c r="G20" s="90">
        <v>1.2</v>
      </c>
      <c r="H20" s="52">
        <f t="shared" si="6"/>
        <v>1.2</v>
      </c>
      <c r="I20" s="52">
        <f t="shared" si="5"/>
        <v>5.2359877559829888</v>
      </c>
      <c r="J20" s="88">
        <v>0.55700000000000005</v>
      </c>
      <c r="K20" s="54">
        <v>5.0000000000000003e-002</v>
      </c>
    </row>
    <row r="23">
      <c r="N23" s="91"/>
    </row>
  </sheetData>
  <mergeCells count="1">
    <mergeCell ref="E10:G1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46E5DF961F39408DE43B15EF6999B1" ma:contentTypeVersion="11" ma:contentTypeDescription="Creare un nuovo documento." ma:contentTypeScope="" ma:versionID="254c620abb66516fcb15e42ffae33bb8">
  <xsd:schema xmlns:xsd="http://www.w3.org/2001/XMLSchema" xmlns:xs="http://www.w3.org/2001/XMLSchema" xmlns:p="http://schemas.microsoft.com/office/2006/metadata/properties" xmlns:ns3="d72476d7-13f4-49c1-b8ad-54b424d3f220" targetNamespace="http://schemas.microsoft.com/office/2006/metadata/properties" ma:root="true" ma:fieldsID="9a875c36fd520a00607c3671a0b9cfc6" ns3:_="">
    <xsd:import namespace="d72476d7-13f4-49c1-b8ad-54b424d3f22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476d7-13f4-49c1-b8ad-54b424d3f22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2476d7-13f4-49c1-b8ad-54b424d3f220" xsi:nil="true"/>
  </documentManagement>
</p:properties>
</file>

<file path=customXml/itemProps1.xml><?xml version="1.0" encoding="utf-8"?>
<ds:datastoreItem xmlns:ds="http://schemas.openxmlformats.org/officeDocument/2006/customXml" ds:itemID="450EBB40-0459-4A19-B948-5D8D3FFCABB6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FAFFA1FB-DF04-4FE3-872A-E4B854468F71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2476d7-13f4-49c1-b8ad-54b424d3f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9B9F9583-3A0B-4DC3-9B1F-4E94A67EE6CA">
  <ds:schemaRefs>
    <ds:schemaRef ds:uri="http://schemas.microsoft.com/office/2006/documentManagement/types"/>
    <ds:schemaRef ds:uri="http://purl.org/dc/elements/1.1/"/>
    <ds:schemaRef ds:uri="d72476d7-13f4-49c1-b8ad-54b424d3f220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4</cp:revision>
  <dcterms:created xsi:type="dcterms:W3CDTF">2026-03-24T17:16:10Z</dcterms:created>
  <dcterms:modified xsi:type="dcterms:W3CDTF">2026-05-30T16:23:17Z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0x0101009346E5DF961F39408DE43B15EF6999B1</vt:lpwstr>
  </property>
</Properties>
</file>