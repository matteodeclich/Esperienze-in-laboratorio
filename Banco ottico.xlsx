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ngoli di rifrazione" sheetId="1" state="visible" r:id="rId1"/>
    <sheet name="Distanze" sheetId="2" state="visible" r:id="rId2"/>
    <sheet name="Distanze focali (250mm)" sheetId="3" state="visible" r:id="rId3"/>
    <sheet name="Distanze focali (100mm)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<sst xmlns="http://schemas.openxmlformats.org/spreadsheetml/2006/main" count="44" uniqueCount="44">
  <si>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Lato piatto</t>
  </si>
  <si>
    <t xml:space="preserve">Lato curvo</t>
  </si>
  <si>
    <t xml:space="preserve">θ inc</t>
  </si>
  <si>
    <t xml:space="preserve">sinθ inc</t>
  </si>
  <si>
    <t xml:space="preserve">θ rif</t>
  </si>
  <si>
    <t xml:space="preserve">sinθ rif</t>
  </si>
  <si>
    <t>Reversibilità</t>
  </si>
  <si>
    <t xml:space="preserve">θ' inc</t>
  </si>
  <si>
    <t xml:space="preserve">θ' rif</t>
  </si>
  <si>
    <t xml:space="preserve">δ minimo (rad)</t>
  </si>
  <si>
    <t xml:space="preserve">α (rad)</t>
  </si>
  <si>
    <t>n</t>
  </si>
  <si>
    <t>σn</t>
  </si>
  <si>
    <t xml:space="preserve">prisma a base triangolare</t>
  </si>
  <si>
    <t xml:space="preserve">prisma a base trapezioidale</t>
  </si>
  <si>
    <t xml:space="preserve">h prisma trapezoidale</t>
  </si>
  <si>
    <t xml:space="preserve">32mm (1mm)</t>
  </si>
  <si>
    <t>ANGOLI</t>
  </si>
  <si>
    <t xml:space="preserve">Distanza dal centro</t>
  </si>
  <si>
    <t xml:space="preserve">Distanza attesa</t>
  </si>
  <si>
    <t>Seno</t>
  </si>
  <si>
    <t>Coseno</t>
  </si>
  <si>
    <t>2mm</t>
  </si>
  <si>
    <t>4mm</t>
  </si>
  <si>
    <t>6mm</t>
  </si>
  <si>
    <t>9mm</t>
  </si>
  <si>
    <t>12mm</t>
  </si>
  <si>
    <t xml:space="preserve">Fuoco 1</t>
  </si>
  <si>
    <t xml:space="preserve">Fuoco 2</t>
  </si>
  <si>
    <t xml:space="preserve">D totale</t>
  </si>
  <si>
    <t xml:space="preserve">p (mm)</t>
  </si>
  <si>
    <t xml:space="preserve">q (mm)</t>
  </si>
  <si>
    <t xml:space="preserve">h' (mm)</t>
  </si>
  <si>
    <t xml:space="preserve">M misurato</t>
  </si>
  <si>
    <t xml:space="preserve">M atteso</t>
  </si>
  <si>
    <t xml:space="preserve">DISTANZA FOCALE 1</t>
  </si>
  <si>
    <t xml:space="preserve">DISTANZA FOCALE 2</t>
  </si>
  <si>
    <t xml:space="preserve">D. MINIMA OSS.</t>
  </si>
  <si>
    <t xml:space="preserve">D. MINIMA TEOR.</t>
  </si>
  <si>
    <t>999mm</t>
  </si>
  <si>
    <t xml:space="preserve">1000 mm</t>
  </si>
  <si>
    <t>h'</t>
  </si>
  <si>
    <t xml:space="preserve">405 mm</t>
  </si>
  <si>
    <t xml:space="preserve">400 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</si>
</sst>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.000000"/>
      <color theme="1"/>
      <name val="Aptos Narrow"/>
      <scheme val="minor"/>
    </font>
    <font>
      <u/>
      <sz val="11.00000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3" tint="0.499984740745262"/>
        <bgColor theme="3" tint="0.499984740745262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4" tint="0.39997558519241921"/>
      </patternFill>
    </fill>
    <fill>
      <patternFill patternType="solid">
        <fgColor rgb="FF00B050"/>
      </patternFill>
    </fill>
    <fill>
      <patternFill patternType="solid">
        <fgColor theme="5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/>
    <xf fontId="0" fillId="2" borderId="0" numFmtId="0" xfId="0" applyFill="1" applyAlignment="1">
      <alignment horizontal="center"/>
    </xf>
    <xf fontId="0" fillId="3" borderId="0" numFmtId="0" xfId="0" applyFill="1"/>
    <xf fontId="0" fillId="0" borderId="0" numFmtId="164" xfId="0" applyNumberFormat="1"/>
    <xf fontId="0" fillId="0" borderId="0" numFmtId="0" xfId="0">
      <protection hidden="0" locked="1"/>
    </xf>
    <xf fontId="0" fillId="2" borderId="0" numFmtId="0" xfId="0" applyFill="1" applyAlignment="1">
      <alignment horizontal="center"/>
    </xf>
    <xf fontId="0" fillId="3" borderId="0" numFmtId="0" xfId="0" applyFill="1"/>
    <xf fontId="1" fillId="0" borderId="0" numFmtId="0" xfId="0" applyFont="1"/>
    <xf fontId="0" fillId="4" borderId="0" numFmtId="0" xfId="0" applyFill="1"/>
    <xf fontId="0" fillId="5" borderId="0" numFmtId="0" xfId="0" applyFill="1"/>
    <xf fontId="0" fillId="0" borderId="0" numFmtId="0" xfId="0" quotePrefix="1"/>
    <xf fontId="0" fillId="6" borderId="0" numFmtId="0" xfId="0" applyFill="1"/>
    <xf fontId="0" fillId="4" borderId="1" numFmtId="0" xfId="0" applyFill="1" applyBorder="1" applyAlignment="1">
      <alignment horizontal="center"/>
    </xf>
    <xf fontId="0" fillId="4" borderId="0" numFmtId="0" xfId="0" applyFill="1" applyAlignment="1">
      <alignment horizontal="center"/>
    </xf>
    <xf fontId="0" fillId="4" borderId="2" numFmtId="0" xfId="0" applyFill="1" applyBorder="1" applyAlignment="1">
      <alignment horizontal="center"/>
    </xf>
    <xf fontId="0" fillId="7" borderId="0" numFmtId="0" xfId="0" applyFill="1"/>
    <xf fontId="0" fillId="8" borderId="3" numFmtId="0" xfId="0" applyFill="1" applyBorder="1"/>
    <xf fontId="0" fillId="8" borderId="4" numFmtId="0" xfId="0" applyFill="1" applyBorder="1"/>
    <xf fontId="0" fillId="8" borderId="5" numFmtId="0" xfId="0" applyFill="1" applyBorder="1"/>
    <xf fontId="0" fillId="8" borderId="0" numFmtId="0" xfId="0" applyFill="1" applyAlignment="1">
      <alignment wrapText="1"/>
    </xf>
    <xf fontId="0" fillId="8" borderId="0" numFmtId="0" xfId="0" applyFill="1" applyAlignment="1">
      <alignment vertical="top" wrapText="1"/>
    </xf>
    <xf fontId="0" fillId="0" borderId="1" numFmtId="0" xfId="0" applyBorder="1"/>
    <xf fontId="0" fillId="0" borderId="2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10" numFmtId="0" xfId="0" applyBorder="1"/>
    <xf fontId="0" fillId="4" borderId="3" numFmtId="0" xfId="0" applyFill="1" applyBorder="1" applyAlignment="1">
      <alignment horizontal="center"/>
    </xf>
    <xf fontId="0" fillId="4" borderId="4" numFmtId="0" xfId="0" applyFill="1" applyBorder="1" applyAlignment="1">
      <alignment horizontal="center"/>
    </xf>
    <xf fontId="0" fillId="4" borderId="5" numFmtId="0" xfId="0" applyFill="1" applyBorder="1" applyAlignment="1">
      <alignment horizontal="center"/>
    </xf>
    <xf fontId="0" fillId="8" borderId="6" numFmtId="0" xfId="0" applyFill="1" applyBorder="1"/>
    <xf fontId="0" fillId="8" borderId="11" numFmtId="0" xfId="0" applyFill="1" applyBorder="1"/>
    <xf fontId="0" fillId="8" borderId="7" numFmtId="0" xfId="0" applyFill="1" applyBorder="1"/>
    <xf fontId="0" fillId="8" borderId="2" numFmtId="0" xfId="0" applyFill="1" applyBorder="1"/>
    <xf fontId="0" fillId="8" borderId="12" numFmtId="0" xfId="0" applyFill="1" applyBorder="1"/>
    <xf fontId="0" fillId="8" borderId="12" numFmtId="0" xfId="0" applyFill="1" applyBorder="1" applyAlignment="1">
      <alignment wrapText="1"/>
    </xf>
    <xf fontId="0" fillId="8" borderId="5" numFmtId="0" xfId="0" applyFill="1" applyBorder="1" applyAlignment="1">
      <alignment vertical="top" wrapText="1"/>
    </xf>
    <xf fontId="0" fillId="7" borderId="13" numFmtId="0" xfId="0" applyFill="1" applyBorder="1"/>
    <xf fontId="0" fillId="0" borderId="11" numFmtId="164" xfId="0" applyNumberFormat="1" applyBorder="1"/>
    <xf fontId="0" fillId="0" borderId="11" numFmtId="0" xfId="0" applyBorder="1"/>
    <xf fontId="0" fillId="0" borderId="13" numFmtId="0" xfId="0" applyBorder="1"/>
    <xf fontId="0" fillId="0" borderId="5" numFmtId="0" xfId="0" applyBorder="1"/>
    <xf fontId="0" fillId="7" borderId="14" numFmtId="0" xfId="0" applyFill="1" applyBorder="1"/>
    <xf fontId="0" fillId="0" borderId="14" numFmtId="0" xfId="0" applyBorder="1"/>
    <xf fontId="0" fillId="0" borderId="0" numFmtId="0" xfId="0"/>
    <xf fontId="0" fillId="7" borderId="15" numFmtId="0" xfId="0" applyFill="1" applyBorder="1"/>
    <xf fontId="0" fillId="0" borderId="9" numFmtId="164" xfId="0" applyNumberFormat="1" applyBorder="1"/>
    <xf fontId="0" fillId="0" borderId="15" numFmt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0" activeCellId="0" sqref="I10"/>
    </sheetView>
  </sheetViews>
  <sheetFormatPr defaultRowHeight="14.25"/>
  <cols>
    <col bestFit="1" customWidth="1" min="1" max="1" width="4.453125"/>
    <col bestFit="1" customWidth="1" min="2" max="2" width="11.125"/>
    <col bestFit="1" min="3" max="3" width="4.79296875"/>
    <col bestFit="1" min="4" max="4" width="11.125"/>
    <col bestFit="1" min="5" max="5" width="4.79296875"/>
    <col bestFit="1" min="6" max="6" width="11.125"/>
  </cols>
  <sheetData>
    <row r="1">
      <c r="C1" s="1" t="s">
        <v>0</v>
      </c>
      <c r="D1" s="1"/>
      <c r="E1" s="1" t="s">
        <v>1</v>
      </c>
      <c r="F1" s="1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4</v>
      </c>
      <c r="F2" s="2" t="s">
        <v>5</v>
      </c>
    </row>
    <row r="3">
      <c r="A3" s="3">
        <v>20</v>
      </c>
      <c r="B3">
        <f>SIN((A3*PI())/180)</f>
        <v>0.34202014332566871</v>
      </c>
      <c r="C3">
        <v>13</v>
      </c>
      <c r="D3">
        <f>SIN((C3*PI())/180)</f>
        <v>0.224951054343865</v>
      </c>
      <c r="E3">
        <v>30</v>
      </c>
      <c r="F3">
        <f>SIN((E3*PI())/180)</f>
        <v>0.49999999999999994</v>
      </c>
    </row>
    <row r="4">
      <c r="A4">
        <v>25</v>
      </c>
      <c r="B4" s="4">
        <f>SIN((A4*PI())/180)</f>
        <v>0.42261826174069944</v>
      </c>
      <c r="C4" s="4">
        <v>16</v>
      </c>
      <c r="D4" s="4">
        <f>SIN((C4*PI())/180)</f>
        <v>0.27563735581699916</v>
      </c>
      <c r="E4" s="4">
        <v>39</v>
      </c>
      <c r="F4" s="4">
        <f>SIN((E4*PI())/180)</f>
        <v>0.62932039104983739</v>
      </c>
    </row>
    <row r="5">
      <c r="A5">
        <v>30</v>
      </c>
      <c r="B5">
        <f>SIN((A5*PI())/180)</f>
        <v>0.49999999999999994</v>
      </c>
      <c r="C5">
        <v>20</v>
      </c>
      <c r="D5">
        <f>SIN((C5*PI())/180)</f>
        <v>0.34202014332566871</v>
      </c>
      <c r="E5">
        <v>48</v>
      </c>
      <c r="F5">
        <f>SIN((E5*PI())/180)</f>
        <v>0.74314482547739424</v>
      </c>
    </row>
    <row r="6">
      <c r="A6">
        <v>45</v>
      </c>
      <c r="B6">
        <f>SIN((A6*PI())/180)</f>
        <v>0.70710678118654746</v>
      </c>
      <c r="C6">
        <v>28</v>
      </c>
      <c r="D6">
        <f>SIN((C6*PI())/180)</f>
        <v>0.46947156278589081</v>
      </c>
      <c r="E6">
        <v>136</v>
      </c>
      <c r="F6">
        <f>SIN((E6*PI())/180)</f>
        <v>0.69465837045899714</v>
      </c>
    </row>
    <row r="7">
      <c r="A7">
        <v>60</v>
      </c>
      <c r="B7">
        <f>SIN((A7*PI())/180)</f>
        <v>0.8660254037844386</v>
      </c>
      <c r="C7">
        <v>35</v>
      </c>
      <c r="D7">
        <f>SIN((C7*PI())/180)</f>
        <v>0.57357643635104605</v>
      </c>
      <c r="E7">
        <v>120</v>
      </c>
      <c r="F7">
        <f>SIN((E7*PI())/180)</f>
        <v>0.86602540378443871</v>
      </c>
    </row>
    <row r="8">
      <c r="A8">
        <v>70</v>
      </c>
      <c r="B8">
        <f>SIN((A8*PI())/180)</f>
        <v>0.93969262078590832</v>
      </c>
      <c r="C8">
        <v>39</v>
      </c>
      <c r="D8">
        <f>SIN((C8*PI())/180)</f>
        <v>0.62932039104983739</v>
      </c>
      <c r="E8">
        <v>111</v>
      </c>
      <c r="F8">
        <f>SIN((E8*PI())/180)</f>
        <v>0.93358042649720174</v>
      </c>
    </row>
    <row r="10">
      <c r="A10" s="5" t="s">
        <v>6</v>
      </c>
      <c r="B10" s="1"/>
      <c r="C10" s="6" t="s">
        <v>7</v>
      </c>
      <c r="D10" s="2" t="s">
        <v>8</v>
      </c>
      <c r="E10" s="2" t="s">
        <v>7</v>
      </c>
      <c r="F10" s="2" t="s">
        <v>8</v>
      </c>
      <c r="I10" s="7"/>
    </row>
    <row r="11" ht="14.25">
      <c r="C11">
        <v>13</v>
      </c>
      <c r="D11" s="4">
        <v>19</v>
      </c>
      <c r="E11" s="4">
        <v>30</v>
      </c>
      <c r="F11" s="4">
        <v>20</v>
      </c>
    </row>
    <row r="12" ht="14.25">
      <c r="C12">
        <v>16</v>
      </c>
      <c r="D12" s="4">
        <v>24</v>
      </c>
      <c r="E12" s="4">
        <v>25</v>
      </c>
      <c r="F12" s="4">
        <v>25</v>
      </c>
    </row>
    <row r="13" ht="14.25">
      <c r="C13">
        <v>20</v>
      </c>
      <c r="D13" s="4">
        <v>30</v>
      </c>
      <c r="E13" s="4">
        <v>48</v>
      </c>
      <c r="F13" s="4">
        <v>30</v>
      </c>
    </row>
    <row r="14" ht="14.25">
      <c r="C14">
        <v>28</v>
      </c>
      <c r="D14" s="4">
        <v>44</v>
      </c>
      <c r="E14" s="4">
        <v>136</v>
      </c>
      <c r="F14" s="4">
        <v>45</v>
      </c>
    </row>
    <row r="15" ht="14.25">
      <c r="C15">
        <v>35</v>
      </c>
      <c r="D15" s="4">
        <v>57</v>
      </c>
      <c r="E15" s="4">
        <v>121</v>
      </c>
      <c r="F15" s="4">
        <v>58</v>
      </c>
    </row>
    <row r="16" ht="14.25">
      <c r="C16">
        <v>39</v>
      </c>
      <c r="D16" s="4">
        <v>68</v>
      </c>
      <c r="E16" s="4">
        <v>111</v>
      </c>
      <c r="F16" s="4">
        <v>69</v>
      </c>
    </row>
  </sheetData>
  <mergeCells count="3">
    <mergeCell ref="C1:D1"/>
    <mergeCell ref="E1:F1"/>
    <mergeCell ref="A10:B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" activeCellId="0" sqref="F2"/>
    </sheetView>
  </sheetViews>
  <sheetFormatPr defaultRowHeight="14.25"/>
  <cols>
    <col customWidth="1" min="1" max="1" width="23.46484375"/>
    <col customWidth="1" min="2" max="2" width="18.265625"/>
    <col customWidth="1" min="3" max="3" width="15.1328125"/>
    <col bestFit="1" customWidth="1" min="4" max="4" width="12.33203125"/>
  </cols>
  <sheetData>
    <row r="1">
      <c r="B1" s="8" t="s">
        <v>9</v>
      </c>
      <c r="C1" s="8" t="s">
        <v>10</v>
      </c>
      <c r="D1" s="9" t="s">
        <v>11</v>
      </c>
      <c r="E1" t="s">
        <v>12</v>
      </c>
    </row>
    <row r="2">
      <c r="A2" s="8" t="s">
        <v>13</v>
      </c>
      <c r="B2">
        <f>PI()/4</f>
        <v>0.78539816339744828</v>
      </c>
      <c r="C2">
        <f>PI()/3</f>
        <v>1.0471975511965976</v>
      </c>
      <c r="D2">
        <f t="shared" ref="D2:D3" si="0">(SIN((B2/2)+(C2/2))/(SIN(C2/2)))</f>
        <v>1.5867066805824706</v>
      </c>
      <c r="E2" s="10">
        <f t="shared" ref="E2:E3" si="1">((1/(2*SIN(C2/2)))*COS(((PI()/180)+C2)/2))*((PI()/180))</f>
        <v>1.5038265780899104e-002</v>
      </c>
    </row>
    <row r="3">
      <c r="A3" s="8" t="s">
        <v>14</v>
      </c>
      <c r="B3">
        <f>(27*PI())/180</f>
        <v>0.47123889803846897</v>
      </c>
      <c r="C3">
        <f>PI()/4</f>
        <v>0.78539816339744828</v>
      </c>
      <c r="D3">
        <f t="shared" si="0"/>
        <v>1.5359568838917252</v>
      </c>
      <c r="E3" s="10">
        <f t="shared" si="1"/>
        <v>2.0991032162068827e-002</v>
      </c>
    </row>
    <row r="5">
      <c r="A5" s="11" t="s">
        <v>15</v>
      </c>
      <c r="B5" s="11" t="s">
        <v>16</v>
      </c>
    </row>
    <row r="7">
      <c r="A7" s="8" t="s">
        <v>17</v>
      </c>
      <c r="B7" s="8" t="s">
        <v>18</v>
      </c>
      <c r="C7" s="8" t="s">
        <v>19</v>
      </c>
      <c r="D7" t="s">
        <v>20</v>
      </c>
      <c r="E7" t="s">
        <v>21</v>
      </c>
    </row>
    <row r="8">
      <c r="A8" s="8">
        <v>10</v>
      </c>
      <c r="B8" t="s">
        <v>22</v>
      </c>
      <c r="C8">
        <f>32*D8*(1-(E8/SQRT(D3^2-D8^2)))</f>
        <v>1.9709421734493859</v>
      </c>
      <c r="D8">
        <f t="shared" ref="D8:D12" si="2">SIN((A8*PI())/180)</f>
        <v>0.17364817766693033</v>
      </c>
      <c r="E8">
        <f t="shared" ref="E8:E12" si="3">COS((A8*PI())/180)</f>
        <v>0.98480775301220802</v>
      </c>
    </row>
    <row r="9">
      <c r="A9" s="8">
        <v>20</v>
      </c>
      <c r="B9" t="s">
        <v>23</v>
      </c>
      <c r="C9">
        <f>32*D9*(1-(E9/SQRT(D3^2-D9^2)))</f>
        <v>4.0763062050074748</v>
      </c>
      <c r="D9">
        <f t="shared" si="2"/>
        <v>0.34202014332566871</v>
      </c>
      <c r="E9">
        <f t="shared" si="3"/>
        <v>0.93969262078590843</v>
      </c>
    </row>
    <row r="10">
      <c r="A10" s="8">
        <v>30</v>
      </c>
      <c r="B10" t="s">
        <v>24</v>
      </c>
      <c r="C10">
        <f>32*D10*(1-(E10/SQRT(D3^2-D10^2)))</f>
        <v>6.4589650713431856</v>
      </c>
      <c r="D10">
        <f t="shared" si="2"/>
        <v>0.49999999999999994</v>
      </c>
      <c r="E10">
        <f t="shared" si="3"/>
        <v>0.86602540378443871</v>
      </c>
    </row>
    <row r="11">
      <c r="A11" s="8">
        <v>40</v>
      </c>
      <c r="B11" t="s">
        <v>25</v>
      </c>
      <c r="C11">
        <f>32*D11*(1-(E11/SQRT(D3^2-D11^2)))</f>
        <v>9.2738090225061391</v>
      </c>
      <c r="D11">
        <f t="shared" si="2"/>
        <v>0.64278760968653925</v>
      </c>
      <c r="E11">
        <f t="shared" si="3"/>
        <v>0.76604444311897801</v>
      </c>
    </row>
    <row r="12">
      <c r="A12" s="8">
        <v>50</v>
      </c>
      <c r="B12" t="s">
        <v>26</v>
      </c>
      <c r="C12">
        <f>32*D12*(1-(E12/SQRT(D3^2-D12^2)))</f>
        <v>12.677612089302682</v>
      </c>
      <c r="D12">
        <f t="shared" si="2"/>
        <v>0.76604444311897801</v>
      </c>
      <c r="E12">
        <f t="shared" si="3"/>
        <v>0.64278760968653936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2" activeCellId="0" sqref="N2:O3"/>
    </sheetView>
  </sheetViews>
  <sheetFormatPr defaultRowHeight="14.25"/>
  <cols>
    <col customWidth="1" min="8" max="8" width="10.19921875"/>
    <col customWidth="1" min="9" max="9" width="10.9296875"/>
    <col customWidth="1" min="10" max="10" width="13.9296875"/>
    <col customWidth="1" min="11" max="11" width="14.9296875"/>
    <col customWidth="1" min="12" max="12" width="16.9296875"/>
    <col customWidth="1" min="13" max="13" width="16.86328125"/>
    <col customWidth="1" min="14" max="14" width="17"/>
    <col customWidth="1" min="15" max="15" width="15"/>
  </cols>
  <sheetData>
    <row r="1" ht="14.65">
      <c r="B1" s="12" t="s">
        <v>27</v>
      </c>
      <c r="C1" s="13"/>
      <c r="D1" s="13"/>
      <c r="E1" s="13"/>
      <c r="F1" s="14"/>
      <c r="G1" s="12" t="s">
        <v>28</v>
      </c>
      <c r="H1" s="13"/>
      <c r="I1" s="13"/>
      <c r="J1" s="13"/>
      <c r="K1" s="13"/>
    </row>
    <row r="2" ht="14.65">
      <c r="A2" s="15" t="s">
        <v>29</v>
      </c>
      <c r="B2" s="16" t="s">
        <v>30</v>
      </c>
      <c r="C2" s="17" t="s">
        <v>31</v>
      </c>
      <c r="D2" s="18" t="s">
        <v>32</v>
      </c>
      <c r="E2" s="17" t="s">
        <v>33</v>
      </c>
      <c r="F2" s="17" t="s">
        <v>34</v>
      </c>
      <c r="G2" s="16" t="s">
        <v>30</v>
      </c>
      <c r="H2" s="17" t="s">
        <v>31</v>
      </c>
      <c r="I2" s="18" t="s">
        <v>32</v>
      </c>
      <c r="J2" s="17" t="s">
        <v>33</v>
      </c>
      <c r="K2" s="17" t="s">
        <v>34</v>
      </c>
      <c r="L2" s="16" t="s">
        <v>35</v>
      </c>
      <c r="M2" s="18" t="s">
        <v>36</v>
      </c>
      <c r="N2" s="19" t="s">
        <v>37</v>
      </c>
      <c r="O2" s="20" t="s">
        <v>38</v>
      </c>
    </row>
    <row r="3">
      <c r="A3" s="15">
        <v>1100</v>
      </c>
      <c r="B3" s="21">
        <f>39*10</f>
        <v>390</v>
      </c>
      <c r="C3">
        <v>710</v>
      </c>
      <c r="D3" s="22">
        <v>77</v>
      </c>
      <c r="E3" s="21">
        <f t="shared" ref="E3:E7" si="4">D3/40</f>
        <v>1.925</v>
      </c>
      <c r="F3" s="22">
        <f t="shared" ref="F3:F7" si="5">C3/B3</f>
        <v>1.8205128205128205</v>
      </c>
      <c r="G3" s="21">
        <v>720</v>
      </c>
      <c r="H3">
        <f t="shared" ref="H3:H7" si="6">A3-G3</f>
        <v>380</v>
      </c>
      <c r="I3" s="22">
        <v>22</v>
      </c>
      <c r="J3" s="23">
        <f t="shared" ref="J3:J7" si="7">I3/40</f>
        <v>0.55000000000000004</v>
      </c>
      <c r="K3" s="24">
        <f t="shared" ref="K3:K7" si="8">H3/G3</f>
        <v>0.52777777777777779</v>
      </c>
      <c r="L3" s="21">
        <f t="shared" ref="L3:L7" si="9">(B3*C3)/(B3+C3)</f>
        <v>251.72727272727272</v>
      </c>
      <c r="M3" s="22">
        <f t="shared" ref="M3:M7" si="10">(G3*H3)/(G3+H3)</f>
        <v>248.72727272727272</v>
      </c>
      <c r="N3" t="s">
        <v>39</v>
      </c>
      <c r="O3" t="s">
        <v>40</v>
      </c>
    </row>
    <row r="4">
      <c r="A4" s="15">
        <v>1200</v>
      </c>
      <c r="B4" s="21">
        <f>35.5*10</f>
        <v>355</v>
      </c>
      <c r="C4">
        <f t="shared" ref="C4:C7" si="11">A4-B4</f>
        <v>845</v>
      </c>
      <c r="D4" s="22">
        <v>100</v>
      </c>
      <c r="E4" s="21">
        <f t="shared" si="4"/>
        <v>2.5</v>
      </c>
      <c r="F4" s="22">
        <f t="shared" si="5"/>
        <v>2.380281690140845</v>
      </c>
      <c r="G4" s="21">
        <v>850</v>
      </c>
      <c r="H4">
        <f t="shared" si="6"/>
        <v>350</v>
      </c>
      <c r="I4" s="22">
        <v>18</v>
      </c>
      <c r="J4" s="21">
        <f t="shared" si="7"/>
        <v>0.45000000000000001</v>
      </c>
      <c r="K4" s="22">
        <f t="shared" si="8"/>
        <v>0.41176470588235292</v>
      </c>
      <c r="L4" s="21">
        <f t="shared" si="9"/>
        <v>249.97916666666666</v>
      </c>
      <c r="M4" s="22">
        <f t="shared" si="10"/>
        <v>247.91666666666666</v>
      </c>
    </row>
    <row r="5">
      <c r="A5" s="15">
        <v>1300</v>
      </c>
      <c r="B5" s="21">
        <f>34*10</f>
        <v>340</v>
      </c>
      <c r="C5">
        <f t="shared" si="11"/>
        <v>960</v>
      </c>
      <c r="D5" s="22">
        <v>119</v>
      </c>
      <c r="E5" s="21">
        <f t="shared" si="4"/>
        <v>2.9750000000000001</v>
      </c>
      <c r="F5" s="22">
        <f t="shared" si="5"/>
        <v>2.8235294117647061</v>
      </c>
      <c r="G5" s="21">
        <v>968</v>
      </c>
      <c r="H5">
        <f t="shared" si="6"/>
        <v>332</v>
      </c>
      <c r="I5" s="22">
        <v>15</v>
      </c>
      <c r="J5" s="21">
        <f t="shared" si="7"/>
        <v>0.375</v>
      </c>
      <c r="K5" s="22">
        <f t="shared" si="8"/>
        <v>0.34297520661157027</v>
      </c>
      <c r="L5" s="21">
        <f t="shared" si="9"/>
        <v>251.07692307692307</v>
      </c>
      <c r="M5" s="22">
        <f t="shared" si="10"/>
        <v>247.21230769230769</v>
      </c>
    </row>
    <row r="6">
      <c r="A6" s="15">
        <v>1400</v>
      </c>
      <c r="B6" s="21">
        <f>32.9*10</f>
        <v>329</v>
      </c>
      <c r="C6">
        <f t="shared" si="11"/>
        <v>1071</v>
      </c>
      <c r="D6" s="22">
        <v>137</v>
      </c>
      <c r="E6" s="21">
        <f t="shared" si="4"/>
        <v>3.4249999999999998</v>
      </c>
      <c r="F6" s="22">
        <f t="shared" si="5"/>
        <v>3.2553191489361701</v>
      </c>
      <c r="G6" s="21">
        <v>1074</v>
      </c>
      <c r="H6">
        <f t="shared" si="6"/>
        <v>326</v>
      </c>
      <c r="I6" s="22">
        <v>13</v>
      </c>
      <c r="J6" s="21">
        <f t="shared" si="7"/>
        <v>0.32500000000000001</v>
      </c>
      <c r="K6" s="22">
        <f t="shared" si="8"/>
        <v>0.30353817504655495</v>
      </c>
      <c r="L6" s="21">
        <f t="shared" si="9"/>
        <v>251.685</v>
      </c>
      <c r="M6" s="22">
        <f t="shared" si="10"/>
        <v>250.08857142857144</v>
      </c>
    </row>
    <row r="7" ht="14.65">
      <c r="A7" s="15">
        <v>1500</v>
      </c>
      <c r="B7" s="25">
        <f>31.9*10</f>
        <v>319</v>
      </c>
      <c r="C7" s="26">
        <f t="shared" si="11"/>
        <v>1181</v>
      </c>
      <c r="D7" s="27">
        <v>155</v>
      </c>
      <c r="E7" s="25">
        <f t="shared" si="4"/>
        <v>3.875</v>
      </c>
      <c r="F7" s="27">
        <f t="shared" si="5"/>
        <v>3.7021943573667713</v>
      </c>
      <c r="G7" s="25">
        <v>1186</v>
      </c>
      <c r="H7" s="26">
        <f t="shared" si="6"/>
        <v>314</v>
      </c>
      <c r="I7" s="27">
        <v>12</v>
      </c>
      <c r="J7" s="25">
        <f t="shared" si="7"/>
        <v>0.29999999999999999</v>
      </c>
      <c r="K7" s="27">
        <f t="shared" si="8"/>
        <v>0.26475548060708265</v>
      </c>
      <c r="L7" s="25">
        <f t="shared" si="9"/>
        <v>251.15933333333334</v>
      </c>
      <c r="M7" s="27">
        <f t="shared" si="10"/>
        <v>248.26933333333332</v>
      </c>
    </row>
    <row r="13">
      <c r="L13" s="7"/>
    </row>
  </sheetData>
  <mergeCells count="2">
    <mergeCell ref="B1:F1"/>
    <mergeCell ref="G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9" activeCellId="0" sqref="C9"/>
    </sheetView>
  </sheetViews>
  <sheetFormatPr defaultRowHeight="14.25"/>
  <cols>
    <col customWidth="1" min="2" max="2" width="9.46484375"/>
    <col customWidth="1" min="8" max="8" width="9.86328125"/>
    <col customWidth="1" min="9" max="10" width="11.19921875"/>
    <col customWidth="1" min="12" max="12" width="18.53125"/>
    <col customWidth="1" min="13" max="13" width="18.265625"/>
    <col customWidth="1" min="14" max="14" width="16.3984375"/>
    <col customWidth="1" min="15" max="15" width="14.53125"/>
  </cols>
  <sheetData>
    <row r="1" ht="14.65">
      <c r="B1" s="12" t="s">
        <v>27</v>
      </c>
      <c r="C1" s="13"/>
      <c r="D1" s="13"/>
      <c r="E1" s="13"/>
      <c r="F1" s="14"/>
      <c r="G1" s="28" t="s">
        <v>28</v>
      </c>
      <c r="H1" s="29"/>
      <c r="I1" s="29"/>
      <c r="J1" s="29"/>
      <c r="K1" s="30"/>
    </row>
    <row r="2" ht="16.899999999999999" customHeight="1">
      <c r="A2" s="15" t="s">
        <v>29</v>
      </c>
      <c r="B2" s="31" t="s">
        <v>30</v>
      </c>
      <c r="C2" s="32" t="s">
        <v>31</v>
      </c>
      <c r="D2" s="33" t="s">
        <v>41</v>
      </c>
      <c r="E2" s="16" t="s">
        <v>33</v>
      </c>
      <c r="F2" s="18" t="s">
        <v>34</v>
      </c>
      <c r="G2" s="31" t="s">
        <v>30</v>
      </c>
      <c r="H2" s="32" t="s">
        <v>31</v>
      </c>
      <c r="I2" s="34" t="s">
        <v>41</v>
      </c>
      <c r="J2" s="16" t="s">
        <v>33</v>
      </c>
      <c r="K2" s="18" t="s">
        <v>34</v>
      </c>
      <c r="L2" s="35" t="s">
        <v>35</v>
      </c>
      <c r="M2" s="18" t="s">
        <v>36</v>
      </c>
      <c r="N2" s="36" t="s">
        <v>37</v>
      </c>
      <c r="O2" s="37" t="s">
        <v>38</v>
      </c>
    </row>
    <row r="3" ht="14.65">
      <c r="A3" s="38">
        <v>600</v>
      </c>
      <c r="B3" s="39">
        <v>139</v>
      </c>
      <c r="C3" s="40">
        <f t="shared" ref="C3:C6" si="12">A3-B3</f>
        <v>461</v>
      </c>
      <c r="D3" s="24">
        <v>146</v>
      </c>
      <c r="E3" s="23">
        <f t="shared" ref="E3:E6" si="13">D3/40</f>
        <v>3.6499999999999999</v>
      </c>
      <c r="F3" s="24">
        <f t="shared" ref="F3:F6" si="14">C3/B3</f>
        <v>3.3165467625899279</v>
      </c>
      <c r="G3" s="23">
        <v>467</v>
      </c>
      <c r="H3" s="40">
        <f t="shared" ref="H3:H6" si="15">A3-G3</f>
        <v>133</v>
      </c>
      <c r="I3" s="24">
        <v>13</v>
      </c>
      <c r="J3" s="23">
        <f t="shared" ref="J3:J6" si="16">I3/40</f>
        <v>0.32500000000000001</v>
      </c>
      <c r="K3" s="24">
        <f t="shared" ref="K3:K6" si="17">H3/G3</f>
        <v>0.28479657387580298</v>
      </c>
      <c r="L3" s="24">
        <f t="shared" ref="L3:L6" si="18">(B3*C3)/(B3+C3)</f>
        <v>106.79833333333333</v>
      </c>
      <c r="M3" s="41">
        <f t="shared" ref="M3:M6" si="19">(G3*H3)/(G3+H3)</f>
        <v>103.51833333333333</v>
      </c>
      <c r="N3" s="42" t="s">
        <v>42</v>
      </c>
      <c r="O3" s="42" t="s">
        <v>43</v>
      </c>
    </row>
    <row r="4">
      <c r="A4" s="43">
        <v>550</v>
      </c>
      <c r="B4" s="3">
        <v>146</v>
      </c>
      <c r="C4">
        <f t="shared" si="12"/>
        <v>404</v>
      </c>
      <c r="D4" s="22">
        <v>120</v>
      </c>
      <c r="E4" s="21">
        <f t="shared" si="13"/>
        <v>3</v>
      </c>
      <c r="F4" s="22">
        <f t="shared" si="14"/>
        <v>2.7671232876712328</v>
      </c>
      <c r="G4" s="21">
        <v>413</v>
      </c>
      <c r="H4">
        <f t="shared" si="15"/>
        <v>137</v>
      </c>
      <c r="I4" s="22">
        <v>15</v>
      </c>
      <c r="J4" s="21">
        <f t="shared" si="16"/>
        <v>0.375</v>
      </c>
      <c r="K4" s="22">
        <f t="shared" si="17"/>
        <v>0.33171912832929784</v>
      </c>
      <c r="L4" s="22">
        <f t="shared" si="18"/>
        <v>107.24363636363637</v>
      </c>
      <c r="M4" s="44">
        <f t="shared" si="19"/>
        <v>102.87454545454545</v>
      </c>
      <c r="N4" s="45"/>
      <c r="O4" s="45"/>
    </row>
    <row r="5">
      <c r="A5" s="43">
        <v>500</v>
      </c>
      <c r="B5" s="3">
        <v>155</v>
      </c>
      <c r="C5">
        <f t="shared" si="12"/>
        <v>345</v>
      </c>
      <c r="D5" s="22">
        <v>98</v>
      </c>
      <c r="E5" s="21">
        <f t="shared" si="13"/>
        <v>2.4500000000000002</v>
      </c>
      <c r="F5" s="22">
        <f t="shared" si="14"/>
        <v>2.225806451612903</v>
      </c>
      <c r="G5" s="21">
        <v>355</v>
      </c>
      <c r="H5">
        <f t="shared" si="15"/>
        <v>145</v>
      </c>
      <c r="I5" s="22">
        <v>19</v>
      </c>
      <c r="J5" s="21">
        <f t="shared" si="16"/>
        <v>0.47499999999999998</v>
      </c>
      <c r="K5" s="22">
        <f t="shared" si="17"/>
        <v>0.40845070422535212</v>
      </c>
      <c r="L5" s="22">
        <f t="shared" si="18"/>
        <v>106.95</v>
      </c>
      <c r="M5" s="44">
        <f t="shared" si="19"/>
        <v>102.95</v>
      </c>
      <c r="N5" s="45"/>
      <c r="O5" s="45"/>
    </row>
    <row r="6" ht="14.65">
      <c r="A6" s="46">
        <v>450</v>
      </c>
      <c r="B6" s="47">
        <v>173</v>
      </c>
      <c r="C6" s="26">
        <f t="shared" si="12"/>
        <v>277</v>
      </c>
      <c r="D6" s="27">
        <v>68</v>
      </c>
      <c r="E6" s="25">
        <f t="shared" si="13"/>
        <v>1.7</v>
      </c>
      <c r="F6" s="27">
        <f t="shared" si="14"/>
        <v>1.6011560693641618</v>
      </c>
      <c r="G6" s="25">
        <v>285</v>
      </c>
      <c r="H6" s="26">
        <f t="shared" si="15"/>
        <v>165</v>
      </c>
      <c r="I6" s="27">
        <v>26</v>
      </c>
      <c r="J6" s="25">
        <f t="shared" si="16"/>
        <v>0.65000000000000002</v>
      </c>
      <c r="K6" s="27">
        <f t="shared" si="17"/>
        <v>0.57894736842105265</v>
      </c>
      <c r="L6" s="27">
        <f t="shared" si="18"/>
        <v>106.49111111111111</v>
      </c>
      <c r="M6" s="48">
        <f t="shared" si="19"/>
        <v>104.5</v>
      </c>
      <c r="N6" s="45"/>
      <c r="O6" s="45"/>
    </row>
    <row r="7">
      <c r="C7" s="45"/>
      <c r="D7" s="45"/>
    </row>
    <row r="8">
      <c r="D8" s="7"/>
    </row>
    <row r="9">
      <c r="C9" s="45"/>
    </row>
  </sheetData>
  <mergeCells count="2">
    <mergeCell ref="B1:F1"/>
    <mergeCell ref="G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revision>1</cp:revision>
  <dcterms:created xsi:type="dcterms:W3CDTF">2026-03-17T09:57:36Z</dcterms:created>
  <dcterms:modified xsi:type="dcterms:W3CDTF">2026-05-18T09:05:37Z</dcterms:modified>
</cp:coreProperties>
</file>